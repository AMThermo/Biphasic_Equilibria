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ced\"/>
    </mc:Choice>
  </mc:AlternateContent>
  <xr:revisionPtr revIDLastSave="0" documentId="13_ncr:1_{865F8C29-3C27-474D-8925-EE2413DCC4EB}" xr6:coauthVersionLast="47" xr6:coauthVersionMax="47" xr10:uidLastSave="{00000000-0000-0000-0000-000000000000}"/>
  <bookViews>
    <workbookView xWindow="-98" yWindow="-98" windowWidth="19396" windowHeight="11596" firstSheet="10" activeTab="11" xr2:uid="{264F3A3F-6528-8141-A0EE-B35B7187401E}"/>
  </bookViews>
  <sheets>
    <sheet name="virial" sheetId="8" r:id="rId1"/>
    <sheet name="VLE_20" sheetId="19" r:id="rId2"/>
    <sheet name="VLE_50" sheetId="1" r:id="rId3"/>
    <sheet name="VLE_75" sheetId="6" r:id="rId4"/>
    <sheet name="VLE_94" sheetId="7" r:id="rId5"/>
    <sheet name="VLE_101" sheetId="14" r:id="rId6"/>
    <sheet name="VLE_298" sheetId="26" r:id="rId7"/>
    <sheet name="psat1" sheetId="18" r:id="rId8"/>
    <sheet name="psat1_Melissa" sheetId="20" r:id="rId9"/>
    <sheet name="psat1_Lladosa" sheetId="21" r:id="rId10"/>
    <sheet name="psat2" sheetId="13" r:id="rId11"/>
    <sheet name="puros" sheetId="3" r:id="rId12"/>
    <sheet name="denl1" sheetId="16" r:id="rId13"/>
    <sheet name="liqden" sheetId="17" r:id="rId14"/>
    <sheet name="Abala" sheetId="22" r:id="rId15"/>
    <sheet name="Bernazani" sheetId="23" r:id="rId16"/>
    <sheet name="Kammerer" sheetId="24" r:id="rId17"/>
    <sheet name="dyn_vis" sheetId="4" r:id="rId18"/>
    <sheet name="viscpure_1" sheetId="12" r:id="rId19"/>
    <sheet name="viscpure_2" sheetId="11" r:id="rId20"/>
    <sheet name="stension" sheetId="25" r:id="rId21"/>
  </sheets>
  <definedNames>
    <definedName name="_xlnm._FilterDatabase" localSheetId="16" hidden="1">Kammerer!$A$1:$B$11</definedName>
    <definedName name="_xlnm._FilterDatabase" localSheetId="5" hidden="1">VLE_101!$A$1:$D$22</definedName>
    <definedName name="_xlnm._FilterDatabase" localSheetId="1" hidden="1">VLE_20!$A$1:$D$22</definedName>
    <definedName name="_xlnm._FilterDatabase" localSheetId="2" hidden="1">VLE_50!$A$1:$D$20</definedName>
    <definedName name="_xlnm._FilterDatabase" localSheetId="3" hidden="1">VLE_75!$A$1:$D$19</definedName>
    <definedName name="_xlnm._FilterDatabase" localSheetId="4" hidden="1">VLE_94!$A$1:$D$21</definedName>
    <definedName name="solver_adj" localSheetId="7" hidden="1">psat1!$J$2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psat1!$L$17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7" l="1"/>
  <c r="A19" i="6"/>
  <c r="A20" i="1"/>
  <c r="A2" i="6"/>
  <c r="A2" i="1" l="1"/>
  <c r="A2" i="7"/>
  <c r="D2" i="16" l="1"/>
</calcChain>
</file>

<file path=xl/sharedStrings.xml><?xml version="1.0" encoding="utf-8"?>
<sst xmlns="http://schemas.openxmlformats.org/spreadsheetml/2006/main" count="80" uniqueCount="31">
  <si>
    <t>DBE</t>
  </si>
  <si>
    <t>I. Refracción a 25 °C</t>
  </si>
  <si>
    <t>Dendidad a 25 °C</t>
  </si>
  <si>
    <t>Tension interfacial</t>
  </si>
  <si>
    <t>Pureza GC %</t>
  </si>
  <si>
    <t>T°C ebullicion</t>
  </si>
  <si>
    <t>Experimental</t>
  </si>
  <si>
    <t>Literatura</t>
  </si>
  <si>
    <t>BUTANOL</t>
  </si>
  <si>
    <t>x1</t>
  </si>
  <si>
    <t>visco_dim(mPa*s)</t>
  </si>
  <si>
    <t>MW</t>
  </si>
  <si>
    <t>rho / 25°C</t>
  </si>
  <si>
    <t>V cm3 mol-1</t>
  </si>
  <si>
    <t>[1]</t>
  </si>
  <si>
    <t>[2]</t>
  </si>
  <si>
    <t>1-Butanol</t>
  </si>
  <si>
    <t>visco/mPa*s</t>
  </si>
  <si>
    <t>T/K</t>
  </si>
  <si>
    <t>y1</t>
  </si>
  <si>
    <t>p/kPa</t>
  </si>
  <si>
    <t>den/g cm-3</t>
  </si>
  <si>
    <t>den/mol m3</t>
  </si>
  <si>
    <t>T/C</t>
  </si>
  <si>
    <t>B/cm3 mol-1</t>
  </si>
  <si>
    <t>u/cm3 mol-1</t>
  </si>
  <si>
    <t>gamma1</t>
  </si>
  <si>
    <t>gamma2</t>
  </si>
  <si>
    <t>vE/cm3 mol</t>
  </si>
  <si>
    <t>ST/mN*m-1</t>
  </si>
  <si>
    <t>dvis/mPa*s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</si>
</sst>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2" fontId="1" fillId="0" borderId="0" xfId="0" applyNumberFormat="1" applyFont="1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439F-F948-4D4D-BD2C-EF7702835177}">
  <dimension ref="A1:C5"/>
  <sheetViews>
    <sheetView workbookViewId="0">
      <selection activeCell="E8" sqref="E8"/>
    </sheetView>
  </sheetViews>
  <sheetFormatPr baseColWidth="10" defaultRowHeight="15.75" x14ac:dyDescent="0.5"/>
  <sheetData>
    <row r="1" spans="1:3" x14ac:dyDescent="0.5">
      <c r="A1" t="s">
        <v>23</v>
      </c>
      <c r="B1" t="s">
        <v>24</v>
      </c>
      <c r="C1" t="s">
        <v>25</v>
      </c>
    </row>
    <row r="2" spans="1:3" x14ac:dyDescent="0.5">
      <c r="A2">
        <v>120</v>
      </c>
      <c r="B2">
        <v>-1053</v>
      </c>
      <c r="C2">
        <v>16</v>
      </c>
    </row>
    <row r="3" spans="1:3" x14ac:dyDescent="0.5">
      <c r="A3">
        <v>135</v>
      </c>
      <c r="B3">
        <v>-903</v>
      </c>
      <c r="C3">
        <v>7</v>
      </c>
    </row>
    <row r="4" spans="1:3" x14ac:dyDescent="0.5">
      <c r="A4">
        <v>150</v>
      </c>
      <c r="B4">
        <v>-773</v>
      </c>
      <c r="C4">
        <v>13</v>
      </c>
    </row>
    <row r="5" spans="1:3" x14ac:dyDescent="0.5">
      <c r="A5">
        <v>166</v>
      </c>
      <c r="B5">
        <v>-624</v>
      </c>
      <c r="C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482F-062B-45E7-89BF-3B94C4FBAD92}">
  <dimension ref="A1:F22"/>
  <sheetViews>
    <sheetView zoomScaleNormal="100" workbookViewId="0">
      <selection activeCell="G6" sqref="G6"/>
    </sheetView>
  </sheetViews>
  <sheetFormatPr baseColWidth="10" defaultRowHeight="15.75" x14ac:dyDescent="0.5"/>
  <sheetData>
    <row r="1" spans="1:6" x14ac:dyDescent="0.5">
      <c r="A1" t="s">
        <v>18</v>
      </c>
      <c r="B1" t="s">
        <v>20</v>
      </c>
      <c r="C1" t="s">
        <v>9</v>
      </c>
      <c r="D1" t="s">
        <v>19</v>
      </c>
      <c r="E1" t="s">
        <v>26</v>
      </c>
      <c r="F1" t="s">
        <v>27</v>
      </c>
    </row>
    <row r="2" spans="1:6" x14ac:dyDescent="0.5">
      <c r="A2" s="3">
        <v>317.33</v>
      </c>
      <c r="B2">
        <v>20</v>
      </c>
      <c r="C2" s="1">
        <v>0</v>
      </c>
      <c r="D2" s="1">
        <v>0</v>
      </c>
      <c r="F2">
        <v>1</v>
      </c>
    </row>
    <row r="3" spans="1:6" x14ac:dyDescent="0.5">
      <c r="A3" s="5">
        <v>316.35000000000002</v>
      </c>
      <c r="B3">
        <v>20</v>
      </c>
      <c r="C3" s="1">
        <v>5.8000000000000003E-2</v>
      </c>
      <c r="D3" s="1">
        <v>9.0999999999999998E-2</v>
      </c>
      <c r="E3">
        <v>3.7040000000000002</v>
      </c>
      <c r="F3">
        <v>1.006</v>
      </c>
    </row>
    <row r="4" spans="1:6" x14ac:dyDescent="0.5">
      <c r="A4" s="5">
        <v>315.86</v>
      </c>
      <c r="B4">
        <v>20</v>
      </c>
      <c r="C4" s="1">
        <v>0.152</v>
      </c>
      <c r="D4" s="1">
        <v>0.16500000000000001</v>
      </c>
      <c r="E4">
        <v>2.6549999999999998</v>
      </c>
      <c r="F4">
        <v>1.048</v>
      </c>
    </row>
    <row r="5" spans="1:6" x14ac:dyDescent="0.5">
      <c r="A5" s="5">
        <v>315.83999999999997</v>
      </c>
      <c r="B5">
        <v>20</v>
      </c>
      <c r="C5" s="1">
        <v>0.21</v>
      </c>
      <c r="D5" s="1">
        <v>0.193</v>
      </c>
      <c r="E5">
        <v>2.25</v>
      </c>
      <c r="F5">
        <v>1.0880000000000001</v>
      </c>
    </row>
    <row r="6" spans="1:6" x14ac:dyDescent="0.5">
      <c r="A6" s="5">
        <v>315.91000000000003</v>
      </c>
      <c r="B6">
        <v>20</v>
      </c>
      <c r="C6" s="1">
        <v>0.26800000000000002</v>
      </c>
      <c r="D6" s="1">
        <v>0.216</v>
      </c>
      <c r="E6">
        <v>1.9650000000000001</v>
      </c>
      <c r="F6">
        <v>1.137</v>
      </c>
    </row>
    <row r="7" spans="1:6" x14ac:dyDescent="0.5">
      <c r="A7" s="5">
        <v>316.08999999999997</v>
      </c>
      <c r="B7">
        <v>20</v>
      </c>
      <c r="C7" s="1">
        <v>0.32700000000000001</v>
      </c>
      <c r="D7" s="1">
        <v>0.23599999999999999</v>
      </c>
      <c r="E7">
        <v>1.742</v>
      </c>
      <c r="F7">
        <v>1.1970000000000001</v>
      </c>
    </row>
    <row r="8" spans="1:6" x14ac:dyDescent="0.5">
      <c r="A8" s="5">
        <v>316.41000000000003</v>
      </c>
      <c r="B8">
        <v>20</v>
      </c>
      <c r="C8" s="1">
        <v>0.40600000000000003</v>
      </c>
      <c r="D8" s="1">
        <v>0.26</v>
      </c>
      <c r="E8">
        <v>1.522</v>
      </c>
      <c r="F8">
        <v>1.294</v>
      </c>
    </row>
    <row r="9" spans="1:6" x14ac:dyDescent="0.5">
      <c r="A9" s="5">
        <v>316.79000000000002</v>
      </c>
      <c r="B9">
        <v>20</v>
      </c>
      <c r="C9" s="1">
        <v>0.47099999999999997</v>
      </c>
      <c r="D9" s="1">
        <v>0.28100000000000003</v>
      </c>
      <c r="E9">
        <v>1.385</v>
      </c>
      <c r="F9">
        <v>1.391</v>
      </c>
    </row>
    <row r="10" spans="1:6" x14ac:dyDescent="0.5">
      <c r="A10" s="5">
        <v>317.2</v>
      </c>
      <c r="B10">
        <v>20</v>
      </c>
      <c r="C10" s="1">
        <v>0.52400000000000002</v>
      </c>
      <c r="D10" s="1">
        <v>0.308</v>
      </c>
      <c r="E10">
        <v>1.3340000000000001</v>
      </c>
      <c r="F10">
        <v>1.462</v>
      </c>
    </row>
    <row r="11" spans="1:6" x14ac:dyDescent="0.5">
      <c r="A11" s="5">
        <v>317.77</v>
      </c>
      <c r="B11">
        <v>20</v>
      </c>
      <c r="C11" s="1">
        <v>0.58299999999999996</v>
      </c>
      <c r="D11" s="1">
        <v>0.32600000000000001</v>
      </c>
      <c r="E11">
        <v>1.228</v>
      </c>
      <c r="F11">
        <v>1.589</v>
      </c>
    </row>
    <row r="12" spans="1:6" x14ac:dyDescent="0.5">
      <c r="A12" s="5">
        <v>318.31</v>
      </c>
      <c r="B12">
        <v>20</v>
      </c>
      <c r="C12" s="1">
        <v>0.629</v>
      </c>
      <c r="D12" s="1">
        <v>0.34799999999999998</v>
      </c>
      <c r="E12">
        <v>1.179</v>
      </c>
      <c r="F12">
        <v>1.6890000000000001</v>
      </c>
    </row>
    <row r="13" spans="1:6" x14ac:dyDescent="0.5">
      <c r="A13" s="5">
        <v>318.94</v>
      </c>
      <c r="B13">
        <v>20</v>
      </c>
      <c r="C13" s="1">
        <v>0.67400000000000004</v>
      </c>
      <c r="D13" s="1">
        <v>0.375</v>
      </c>
      <c r="E13">
        <v>1.1439999999999999</v>
      </c>
      <c r="F13">
        <v>1.7949999999999999</v>
      </c>
    </row>
    <row r="14" spans="1:6" x14ac:dyDescent="0.5">
      <c r="A14" s="5">
        <v>319.70999999999998</v>
      </c>
      <c r="B14">
        <v>20</v>
      </c>
      <c r="C14" s="1">
        <v>0.72</v>
      </c>
      <c r="D14" s="1">
        <v>0.40699999999999997</v>
      </c>
      <c r="E14">
        <v>1.115</v>
      </c>
      <c r="F14">
        <v>1.9219999999999999</v>
      </c>
    </row>
    <row r="15" spans="1:6" x14ac:dyDescent="0.5">
      <c r="A15" s="5">
        <v>320.7</v>
      </c>
      <c r="B15">
        <v>20</v>
      </c>
      <c r="C15" s="1">
        <v>0.76400000000000001</v>
      </c>
      <c r="D15" s="1">
        <v>0.44400000000000001</v>
      </c>
      <c r="E15">
        <v>1.085</v>
      </c>
      <c r="F15">
        <v>2.0510000000000002</v>
      </c>
    </row>
    <row r="16" spans="1:6" x14ac:dyDescent="0.5">
      <c r="A16" s="5">
        <v>321.83999999999997</v>
      </c>
      <c r="B16">
        <v>20</v>
      </c>
      <c r="C16" s="1">
        <v>0.80600000000000005</v>
      </c>
      <c r="D16" s="1">
        <v>0.48699999999999999</v>
      </c>
      <c r="E16">
        <v>1.0609999999999999</v>
      </c>
      <c r="F16">
        <v>2.198</v>
      </c>
    </row>
    <row r="17" spans="1:6" x14ac:dyDescent="0.5">
      <c r="A17" s="5">
        <v>323.33</v>
      </c>
      <c r="B17">
        <v>20</v>
      </c>
      <c r="C17" s="1">
        <v>0.84799999999999998</v>
      </c>
      <c r="D17" s="1">
        <v>0.54700000000000004</v>
      </c>
      <c r="E17">
        <v>1.0449999999999999</v>
      </c>
      <c r="F17">
        <v>2.3330000000000002</v>
      </c>
    </row>
    <row r="18" spans="1:6" x14ac:dyDescent="0.5">
      <c r="A18">
        <v>324.89</v>
      </c>
      <c r="B18">
        <v>20</v>
      </c>
      <c r="C18">
        <v>0.88600000000000001</v>
      </c>
      <c r="D18">
        <v>0.61099999999999999</v>
      </c>
      <c r="E18">
        <v>1.0289999999999999</v>
      </c>
      <c r="F18">
        <v>2.516</v>
      </c>
    </row>
    <row r="19" spans="1:6" x14ac:dyDescent="0.5">
      <c r="A19" s="5">
        <v>326.82</v>
      </c>
      <c r="B19">
        <v>20</v>
      </c>
      <c r="C19" s="1">
        <v>0.92300000000000004</v>
      </c>
      <c r="D19" s="1">
        <v>0.69399999999999995</v>
      </c>
      <c r="E19">
        <v>1.0129999999999999</v>
      </c>
      <c r="F19">
        <v>2.7320000000000002</v>
      </c>
    </row>
    <row r="20" spans="1:6" x14ac:dyDescent="0.5">
      <c r="A20">
        <v>329.05</v>
      </c>
      <c r="B20">
        <v>20</v>
      </c>
      <c r="C20">
        <v>0.95699999999999996</v>
      </c>
      <c r="D20">
        <v>0.80200000000000005</v>
      </c>
      <c r="E20">
        <v>1.006</v>
      </c>
      <c r="F20">
        <v>2.9220000000000002</v>
      </c>
    </row>
    <row r="21" spans="1:6" x14ac:dyDescent="0.5">
      <c r="A21" s="3">
        <v>331.22</v>
      </c>
      <c r="B21">
        <v>20</v>
      </c>
      <c r="C21">
        <v>0.98399999999999999</v>
      </c>
      <c r="D21">
        <v>0.91900000000000004</v>
      </c>
      <c r="E21">
        <v>1.004</v>
      </c>
      <c r="F21">
        <v>2.859</v>
      </c>
    </row>
    <row r="22" spans="1:6" x14ac:dyDescent="0.5">
      <c r="A22" s="3">
        <v>332.63</v>
      </c>
      <c r="B22">
        <v>20</v>
      </c>
      <c r="C22">
        <v>1</v>
      </c>
      <c r="D22">
        <v>1</v>
      </c>
      <c r="E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AC8D-D67B-EB44-B693-835B8E6724BA}">
  <dimension ref="A1:D22"/>
  <sheetViews>
    <sheetView zoomScaleNormal="100" workbookViewId="0">
      <selection activeCell="A12" sqref="A12"/>
    </sheetView>
  </sheetViews>
  <sheetFormatPr baseColWidth="10" defaultRowHeight="15.75" x14ac:dyDescent="0.5"/>
  <sheetData>
    <row r="1" spans="1:4" x14ac:dyDescent="0.5">
      <c r="A1" t="s">
        <v>18</v>
      </c>
      <c r="B1" t="s">
        <v>20</v>
      </c>
      <c r="C1" t="s">
        <v>9</v>
      </c>
      <c r="D1" t="s">
        <v>19</v>
      </c>
    </row>
    <row r="2" spans="1:4" x14ac:dyDescent="0.5">
      <c r="A2" s="3">
        <f>1285.522/(6.4552-LOG10(B2))+101.6256</f>
        <v>371.90731496583362</v>
      </c>
      <c r="B2">
        <v>50</v>
      </c>
      <c r="C2" s="1">
        <v>0</v>
      </c>
      <c r="D2" s="1">
        <v>0</v>
      </c>
    </row>
    <row r="3" spans="1:4" x14ac:dyDescent="0.5">
      <c r="A3" s="5">
        <v>370.92</v>
      </c>
      <c r="B3">
        <v>50</v>
      </c>
      <c r="C3" s="1">
        <v>0.10199999999999999</v>
      </c>
      <c r="D3" s="1">
        <v>0.12</v>
      </c>
    </row>
    <row r="4" spans="1:4" x14ac:dyDescent="0.5">
      <c r="A4" s="5">
        <v>370.38</v>
      </c>
      <c r="B4">
        <v>50</v>
      </c>
      <c r="C4" s="1">
        <v>0.15</v>
      </c>
      <c r="D4" s="1">
        <v>0.161</v>
      </c>
    </row>
    <row r="5" spans="1:4" x14ac:dyDescent="0.5">
      <c r="A5" s="5">
        <v>370.63</v>
      </c>
      <c r="B5">
        <v>50</v>
      </c>
      <c r="C5" s="1">
        <v>0.19700000000000001</v>
      </c>
      <c r="D5" s="1">
        <v>0.19500000000000001</v>
      </c>
    </row>
    <row r="6" spans="1:4" x14ac:dyDescent="0.5">
      <c r="A6" s="5">
        <v>369.92</v>
      </c>
      <c r="B6">
        <v>50</v>
      </c>
      <c r="C6" s="1">
        <v>0.246</v>
      </c>
      <c r="D6" s="1">
        <v>0.22700000000000001</v>
      </c>
    </row>
    <row r="7" spans="1:4" s="10" customFormat="1" x14ac:dyDescent="0.5">
      <c r="A7" s="9">
        <v>369.43</v>
      </c>
      <c r="B7" s="10">
        <v>50</v>
      </c>
      <c r="C7" s="11">
        <v>0.29399999999999998</v>
      </c>
      <c r="D7" s="11">
        <v>0.25600000000000001</v>
      </c>
    </row>
    <row r="8" spans="1:4" x14ac:dyDescent="0.5">
      <c r="A8" s="5">
        <v>369.66</v>
      </c>
      <c r="B8">
        <v>50</v>
      </c>
      <c r="C8" s="1">
        <v>0.34200000000000003</v>
      </c>
      <c r="D8" s="1">
        <v>0.28000000000000003</v>
      </c>
    </row>
    <row r="9" spans="1:4" x14ac:dyDescent="0.5">
      <c r="A9" s="5">
        <v>369.68</v>
      </c>
      <c r="B9">
        <v>50</v>
      </c>
      <c r="C9" s="1">
        <v>0.39200000000000002</v>
      </c>
      <c r="D9" s="1">
        <v>0.30499999999999999</v>
      </c>
    </row>
    <row r="10" spans="1:4" x14ac:dyDescent="0.5">
      <c r="A10" s="5">
        <v>369.84</v>
      </c>
      <c r="B10">
        <v>50</v>
      </c>
      <c r="C10" s="1">
        <v>0.44400000000000001</v>
      </c>
      <c r="D10" s="1">
        <v>0.32800000000000001</v>
      </c>
    </row>
    <row r="11" spans="1:4" x14ac:dyDescent="0.5">
      <c r="A11" s="5">
        <v>370.26</v>
      </c>
      <c r="B11">
        <v>50</v>
      </c>
      <c r="C11" s="1">
        <v>0.497</v>
      </c>
      <c r="D11" s="1">
        <v>0.35499999999999998</v>
      </c>
    </row>
    <row r="12" spans="1:4" x14ac:dyDescent="0.5">
      <c r="A12" s="5">
        <v>371.39</v>
      </c>
      <c r="B12">
        <v>50</v>
      </c>
      <c r="C12" s="1">
        <v>0.52400000000000002</v>
      </c>
      <c r="D12" s="1">
        <v>0.36399999999999999</v>
      </c>
    </row>
    <row r="13" spans="1:4" x14ac:dyDescent="0.5">
      <c r="A13" s="5">
        <v>371.78</v>
      </c>
      <c r="B13">
        <v>50</v>
      </c>
      <c r="C13" s="1">
        <v>0.55000000000000004</v>
      </c>
      <c r="D13" s="1">
        <v>0.378</v>
      </c>
    </row>
    <row r="14" spans="1:4" x14ac:dyDescent="0.5">
      <c r="A14" s="5">
        <v>372.01</v>
      </c>
      <c r="B14">
        <v>50</v>
      </c>
      <c r="C14" s="1">
        <v>0.60099999999999998</v>
      </c>
      <c r="D14" s="1">
        <v>0.40300000000000002</v>
      </c>
    </row>
    <row r="15" spans="1:4" x14ac:dyDescent="0.5">
      <c r="A15" s="5">
        <v>372.89</v>
      </c>
      <c r="B15">
        <v>50</v>
      </c>
      <c r="C15" s="1">
        <v>0.64600000000000002</v>
      </c>
      <c r="D15" s="1">
        <v>0.42699999999999999</v>
      </c>
    </row>
    <row r="16" spans="1:4" x14ac:dyDescent="0.5">
      <c r="A16">
        <v>373.51</v>
      </c>
      <c r="B16">
        <v>50</v>
      </c>
      <c r="C16">
        <v>0.69499999999999995</v>
      </c>
      <c r="D16">
        <v>0.45600000000000002</v>
      </c>
    </row>
    <row r="17" spans="1:4" x14ac:dyDescent="0.5">
      <c r="A17" s="5">
        <v>374.47</v>
      </c>
      <c r="B17">
        <v>50</v>
      </c>
      <c r="C17" s="1">
        <v>0.74199999999999999</v>
      </c>
      <c r="D17" s="1">
        <v>0.49399999999999999</v>
      </c>
    </row>
    <row r="18" spans="1:4" x14ac:dyDescent="0.5">
      <c r="A18">
        <v>375.65</v>
      </c>
      <c r="B18">
        <v>50</v>
      </c>
      <c r="C18">
        <v>0.78900000000000003</v>
      </c>
      <c r="D18">
        <v>0.53800000000000003</v>
      </c>
    </row>
    <row r="19" spans="1:4" x14ac:dyDescent="0.5">
      <c r="A19" s="3">
        <v>377.2</v>
      </c>
      <c r="B19">
        <v>50</v>
      </c>
      <c r="C19">
        <v>0.83899999999999997</v>
      </c>
      <c r="D19">
        <v>0.58899999999999997</v>
      </c>
    </row>
    <row r="20" spans="1:4" x14ac:dyDescent="0.5">
      <c r="A20" s="3">
        <f>3329.56/(8.54371-LOG10(B20))-95.97533</f>
        <v>390.4653532267136</v>
      </c>
      <c r="B20">
        <v>50</v>
      </c>
      <c r="C20" s="1">
        <v>1</v>
      </c>
      <c r="D20" s="1">
        <v>1</v>
      </c>
    </row>
    <row r="22" spans="1:4" x14ac:dyDescent="0.5">
      <c r="A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9AA0-8CC7-4A3D-863B-A7DE87452799}">
  <dimension ref="A1:D19"/>
  <sheetViews>
    <sheetView zoomScaleNormal="100" workbookViewId="0">
      <selection activeCell="A19" sqref="A19"/>
    </sheetView>
  </sheetViews>
  <sheetFormatPr baseColWidth="10" defaultRowHeight="15.75" x14ac:dyDescent="0.5"/>
  <sheetData>
    <row r="1" spans="1:4" x14ac:dyDescent="0.5">
      <c r="A1" t="s">
        <v>18</v>
      </c>
      <c r="B1" t="s">
        <v>20</v>
      </c>
      <c r="C1" t="s">
        <v>9</v>
      </c>
      <c r="D1" t="s">
        <v>19</v>
      </c>
    </row>
    <row r="2" spans="1:4" x14ac:dyDescent="0.5">
      <c r="A2" s="3">
        <f>1285.522/(6.4552-LOG10(B2))+101.6256</f>
        <v>382.29875728343183</v>
      </c>
      <c r="B2">
        <v>75</v>
      </c>
      <c r="C2" s="1">
        <v>0</v>
      </c>
      <c r="D2" s="1">
        <v>0</v>
      </c>
    </row>
    <row r="3" spans="1:4" x14ac:dyDescent="0.5">
      <c r="A3" s="6">
        <v>381.05</v>
      </c>
      <c r="B3">
        <v>75</v>
      </c>
      <c r="C3" s="1">
        <v>0.10199999999999999</v>
      </c>
      <c r="D3" s="1">
        <v>0.11</v>
      </c>
    </row>
    <row r="4" spans="1:4" x14ac:dyDescent="0.5">
      <c r="A4" s="6">
        <v>380.88</v>
      </c>
      <c r="B4">
        <v>75</v>
      </c>
      <c r="C4" s="1">
        <v>0.15</v>
      </c>
      <c r="D4" s="1">
        <v>0.14799999999999999</v>
      </c>
    </row>
    <row r="5" spans="1:4" x14ac:dyDescent="0.5">
      <c r="A5" s="6">
        <v>380.76</v>
      </c>
      <c r="B5">
        <v>75</v>
      </c>
      <c r="C5" s="1">
        <v>0.19800000000000001</v>
      </c>
      <c r="D5" s="1">
        <v>0.18099999999999999</v>
      </c>
    </row>
    <row r="6" spans="1:4" x14ac:dyDescent="0.5">
      <c r="A6" s="6">
        <v>380.54</v>
      </c>
      <c r="B6">
        <v>75</v>
      </c>
      <c r="C6" s="1">
        <v>0.248</v>
      </c>
      <c r="D6" s="1">
        <v>0.21199999999999999</v>
      </c>
    </row>
    <row r="7" spans="1:4" x14ac:dyDescent="0.5">
      <c r="A7" s="6">
        <v>380.21</v>
      </c>
      <c r="B7">
        <v>75</v>
      </c>
      <c r="C7" s="1">
        <v>0.29399999999999998</v>
      </c>
      <c r="D7" s="1">
        <v>0.23699999999999999</v>
      </c>
    </row>
    <row r="8" spans="1:4" x14ac:dyDescent="0.5">
      <c r="A8" s="6">
        <v>380.35</v>
      </c>
      <c r="B8">
        <v>75</v>
      </c>
      <c r="C8" s="1">
        <v>0.34300000000000003</v>
      </c>
      <c r="D8" s="1">
        <v>0.26100000000000001</v>
      </c>
    </row>
    <row r="9" spans="1:4" x14ac:dyDescent="0.5">
      <c r="A9" s="5">
        <v>380.46</v>
      </c>
      <c r="B9">
        <v>75</v>
      </c>
      <c r="C9" s="1">
        <v>0.39500000000000002</v>
      </c>
      <c r="D9" s="1">
        <v>0.28499999999999998</v>
      </c>
    </row>
    <row r="10" spans="1:4" x14ac:dyDescent="0.5">
      <c r="A10" s="5">
        <v>380.9</v>
      </c>
      <c r="B10">
        <v>75</v>
      </c>
      <c r="C10" s="1">
        <v>0.44500000000000001</v>
      </c>
      <c r="D10" s="1">
        <v>0.309</v>
      </c>
    </row>
    <row r="11" spans="1:4" x14ac:dyDescent="0.5">
      <c r="A11" s="6">
        <v>381.31</v>
      </c>
      <c r="B11">
        <v>75</v>
      </c>
      <c r="C11" s="1">
        <v>0.498</v>
      </c>
      <c r="D11" s="1">
        <v>0.33400000000000002</v>
      </c>
    </row>
    <row r="12" spans="1:4" x14ac:dyDescent="0.5">
      <c r="A12" s="6">
        <v>382.47</v>
      </c>
      <c r="B12">
        <v>75</v>
      </c>
      <c r="C12" s="1">
        <v>0.52500000000000002</v>
      </c>
      <c r="D12" s="1">
        <v>0.34799999999999998</v>
      </c>
    </row>
    <row r="13" spans="1:4" x14ac:dyDescent="0.5">
      <c r="A13" s="6">
        <v>383.61</v>
      </c>
      <c r="B13">
        <v>75</v>
      </c>
      <c r="C13" s="1">
        <v>0.6</v>
      </c>
      <c r="D13" s="1">
        <v>0.38300000000000001</v>
      </c>
    </row>
    <row r="14" spans="1:4" x14ac:dyDescent="0.5">
      <c r="A14" s="6">
        <v>384.17</v>
      </c>
      <c r="B14">
        <v>75</v>
      </c>
      <c r="C14" s="1">
        <v>0.64600000000000002</v>
      </c>
      <c r="D14" s="1">
        <v>0.41</v>
      </c>
    </row>
    <row r="15" spans="1:4" x14ac:dyDescent="0.5">
      <c r="A15" s="6">
        <v>384.97</v>
      </c>
      <c r="B15">
        <v>75</v>
      </c>
      <c r="C15" s="1">
        <v>0.69499999999999995</v>
      </c>
      <c r="D15" s="1">
        <v>0.44700000000000001</v>
      </c>
    </row>
    <row r="16" spans="1:4" x14ac:dyDescent="0.5">
      <c r="A16" s="6">
        <v>385.87</v>
      </c>
      <c r="B16">
        <v>75</v>
      </c>
      <c r="C16" s="1">
        <v>0.74199999999999999</v>
      </c>
      <c r="D16" s="1">
        <v>0.48499999999999999</v>
      </c>
    </row>
    <row r="17" spans="1:4" x14ac:dyDescent="0.5">
      <c r="A17" s="6">
        <v>387.49</v>
      </c>
      <c r="B17">
        <v>75</v>
      </c>
      <c r="C17" s="1">
        <v>0.78900000000000003</v>
      </c>
      <c r="D17" s="1">
        <v>0.52700000000000002</v>
      </c>
    </row>
    <row r="18" spans="1:4" x14ac:dyDescent="0.5">
      <c r="A18" s="6">
        <v>389.33</v>
      </c>
      <c r="B18">
        <v>75</v>
      </c>
      <c r="C18" s="1">
        <v>0.83699999999999997</v>
      </c>
      <c r="D18" s="1">
        <v>0.59</v>
      </c>
    </row>
    <row r="19" spans="1:4" x14ac:dyDescent="0.5">
      <c r="A19" s="3">
        <f>3329.56/(8.54371-LOG10(B19))-95.97533</f>
        <v>403.3102271657275</v>
      </c>
      <c r="B19">
        <v>75</v>
      </c>
      <c r="C19" s="1">
        <v>1</v>
      </c>
      <c r="D19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9BE1-B586-418D-A264-E516EFE7DB9B}">
  <dimension ref="A1:D21"/>
  <sheetViews>
    <sheetView zoomScaleNormal="100" workbookViewId="0">
      <selection activeCell="A21" sqref="A21"/>
    </sheetView>
  </sheetViews>
  <sheetFormatPr baseColWidth="10" defaultRowHeight="15.75" x14ac:dyDescent="0.5"/>
  <sheetData>
    <row r="1" spans="1:4" x14ac:dyDescent="0.5">
      <c r="A1" t="s">
        <v>18</v>
      </c>
      <c r="B1" t="s">
        <v>20</v>
      </c>
      <c r="C1" t="s">
        <v>9</v>
      </c>
      <c r="D1" t="s">
        <v>19</v>
      </c>
    </row>
    <row r="2" spans="1:4" x14ac:dyDescent="0.5">
      <c r="A2" s="3">
        <f>1285.522/(6.4552-LOG10(B2))+101.6256</f>
        <v>388.43981405330226</v>
      </c>
      <c r="B2">
        <v>94</v>
      </c>
      <c r="C2" s="1">
        <v>0</v>
      </c>
      <c r="D2" s="1">
        <v>0</v>
      </c>
    </row>
    <row r="3" spans="1:4" x14ac:dyDescent="0.5">
      <c r="A3" s="5">
        <v>387.25</v>
      </c>
      <c r="B3">
        <v>94</v>
      </c>
      <c r="C3" s="1">
        <v>0.10199999999999999</v>
      </c>
      <c r="D3" s="1">
        <v>0.105</v>
      </c>
    </row>
    <row r="4" spans="1:4" x14ac:dyDescent="0.5">
      <c r="A4" s="5">
        <v>387.1</v>
      </c>
      <c r="B4">
        <v>94</v>
      </c>
      <c r="C4" s="1">
        <v>0.151</v>
      </c>
      <c r="D4" s="1">
        <v>0.14199999999999999</v>
      </c>
    </row>
    <row r="5" spans="1:4" x14ac:dyDescent="0.5">
      <c r="A5" s="5">
        <v>386.79</v>
      </c>
      <c r="B5">
        <v>94</v>
      </c>
      <c r="C5" s="1">
        <v>0.19800000000000001</v>
      </c>
      <c r="D5" s="1">
        <v>0.17399999999999999</v>
      </c>
    </row>
    <row r="6" spans="1:4" x14ac:dyDescent="0.5">
      <c r="A6" s="5">
        <v>386.52</v>
      </c>
      <c r="B6">
        <v>94</v>
      </c>
      <c r="C6" s="1">
        <v>0.247</v>
      </c>
      <c r="D6" s="1">
        <v>0.20300000000000001</v>
      </c>
    </row>
    <row r="7" spans="1:4" x14ac:dyDescent="0.5">
      <c r="A7" s="5">
        <v>386.4</v>
      </c>
      <c r="B7">
        <v>94</v>
      </c>
      <c r="C7" s="1">
        <v>0.29499999999999998</v>
      </c>
      <c r="D7" s="1">
        <v>0.22900000000000001</v>
      </c>
    </row>
    <row r="8" spans="1:4" x14ac:dyDescent="0.5">
      <c r="A8" s="5">
        <v>386.5</v>
      </c>
      <c r="B8">
        <v>94</v>
      </c>
      <c r="C8" s="1">
        <v>0.34300000000000003</v>
      </c>
      <c r="D8" s="1">
        <v>0.254</v>
      </c>
    </row>
    <row r="9" spans="1:4" x14ac:dyDescent="0.5">
      <c r="A9" s="5">
        <v>386.76</v>
      </c>
      <c r="B9">
        <v>94</v>
      </c>
      <c r="C9" s="1">
        <v>0.39400000000000002</v>
      </c>
      <c r="D9" s="1">
        <v>0.27700000000000002</v>
      </c>
    </row>
    <row r="10" spans="1:4" x14ac:dyDescent="0.5">
      <c r="A10" s="5">
        <v>387.21</v>
      </c>
      <c r="B10">
        <v>94</v>
      </c>
      <c r="C10" s="1">
        <v>0.44400000000000001</v>
      </c>
      <c r="D10" s="1">
        <v>0.3</v>
      </c>
    </row>
    <row r="11" spans="1:4" x14ac:dyDescent="0.5">
      <c r="A11" s="5">
        <v>387.55</v>
      </c>
      <c r="B11">
        <v>94</v>
      </c>
      <c r="C11" s="1">
        <v>0.495</v>
      </c>
      <c r="D11" s="1">
        <v>0.32500000000000001</v>
      </c>
    </row>
    <row r="12" spans="1:4" x14ac:dyDescent="0.5">
      <c r="A12" s="5">
        <v>388.81</v>
      </c>
      <c r="B12">
        <v>94</v>
      </c>
      <c r="C12" s="1">
        <v>0.52600000000000002</v>
      </c>
      <c r="D12" s="1">
        <v>0.33900000000000002</v>
      </c>
    </row>
    <row r="13" spans="1:4" x14ac:dyDescent="0.5">
      <c r="A13" s="5">
        <v>389.58</v>
      </c>
      <c r="B13">
        <v>94</v>
      </c>
      <c r="C13" s="1">
        <v>0.57599999999999996</v>
      </c>
      <c r="D13" s="1">
        <v>0.36399999999999999</v>
      </c>
    </row>
    <row r="14" spans="1:4" x14ac:dyDescent="0.5">
      <c r="A14" s="5">
        <v>390.08</v>
      </c>
      <c r="B14">
        <v>94</v>
      </c>
      <c r="C14" s="1">
        <v>0.59799999999999998</v>
      </c>
      <c r="D14" s="1">
        <v>0.376</v>
      </c>
    </row>
    <row r="15" spans="1:4" x14ac:dyDescent="0.5">
      <c r="A15" s="5">
        <v>390.8</v>
      </c>
      <c r="B15">
        <v>94</v>
      </c>
      <c r="C15" s="1">
        <v>0.63200000000000001</v>
      </c>
      <c r="D15" s="1">
        <v>0.39</v>
      </c>
    </row>
    <row r="16" spans="1:4" x14ac:dyDescent="0.5">
      <c r="A16" s="5">
        <v>391.75</v>
      </c>
      <c r="B16">
        <v>94</v>
      </c>
      <c r="C16" s="1">
        <v>0.69599999999999995</v>
      </c>
      <c r="D16" s="1">
        <v>0.437</v>
      </c>
    </row>
    <row r="17" spans="1:4" x14ac:dyDescent="0.5">
      <c r="A17" s="5">
        <v>392.72</v>
      </c>
      <c r="B17">
        <v>94</v>
      </c>
      <c r="C17" s="1">
        <v>0.74199999999999999</v>
      </c>
      <c r="D17" s="1">
        <v>0.48</v>
      </c>
    </row>
    <row r="18" spans="1:4" x14ac:dyDescent="0.5">
      <c r="A18" s="5">
        <v>394.12</v>
      </c>
      <c r="B18">
        <v>94</v>
      </c>
      <c r="C18" s="1">
        <v>0.78800000000000003</v>
      </c>
      <c r="D18" s="1">
        <v>0.52100000000000002</v>
      </c>
    </row>
    <row r="19" spans="1:4" x14ac:dyDescent="0.5">
      <c r="A19" s="5">
        <v>396.3</v>
      </c>
      <c r="B19">
        <v>94</v>
      </c>
      <c r="C19" s="1">
        <v>0.83599999999999997</v>
      </c>
      <c r="D19" s="1">
        <v>0.58199999999999996</v>
      </c>
    </row>
    <row r="20" spans="1:4" x14ac:dyDescent="0.5">
      <c r="A20" s="5">
        <v>398.66</v>
      </c>
      <c r="B20">
        <v>94</v>
      </c>
      <c r="C20" s="1">
        <v>0.88400000000000001</v>
      </c>
      <c r="D20" s="1">
        <v>0.66100000000000003</v>
      </c>
    </row>
    <row r="21" spans="1:4" x14ac:dyDescent="0.5">
      <c r="A21" s="3">
        <f>3329.56/(8.54371-LOG10(B21))-95.97533</f>
        <v>410.76211362576788</v>
      </c>
      <c r="B21">
        <v>94</v>
      </c>
      <c r="C21" s="1">
        <v>1</v>
      </c>
      <c r="D21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09F-6C83-44AC-9A5C-372E0D9C3B45}">
  <dimension ref="A1:F22"/>
  <sheetViews>
    <sheetView topLeftCell="A14" zoomScaleNormal="100" workbookViewId="0">
      <selection activeCell="F3" sqref="F3"/>
    </sheetView>
  </sheetViews>
  <sheetFormatPr baseColWidth="10" defaultRowHeight="15.75" x14ac:dyDescent="0.5"/>
  <sheetData>
    <row r="1" spans="1:6" x14ac:dyDescent="0.5">
      <c r="A1" t="s">
        <v>18</v>
      </c>
      <c r="B1" t="s">
        <v>20</v>
      </c>
      <c r="C1" t="s">
        <v>9</v>
      </c>
      <c r="D1" t="s">
        <v>19</v>
      </c>
      <c r="E1" t="s">
        <v>26</v>
      </c>
      <c r="F1" t="s">
        <v>27</v>
      </c>
    </row>
    <row r="2" spans="1:6" x14ac:dyDescent="0.5">
      <c r="A2">
        <v>390.75</v>
      </c>
      <c r="B2">
        <v>101.3</v>
      </c>
      <c r="C2">
        <v>0</v>
      </c>
      <c r="D2">
        <v>0</v>
      </c>
      <c r="F2">
        <v>1</v>
      </c>
    </row>
    <row r="3" spans="1:6" x14ac:dyDescent="0.5">
      <c r="A3">
        <v>390.41</v>
      </c>
      <c r="B3">
        <v>101.3</v>
      </c>
      <c r="C3">
        <v>7.0999999999999952E-2</v>
      </c>
      <c r="D3">
        <v>8.0999999999999961E-2</v>
      </c>
      <c r="E3">
        <v>2.2919999999999998</v>
      </c>
      <c r="F3">
        <v>0.99199999999999999</v>
      </c>
    </row>
    <row r="4" spans="1:6" x14ac:dyDescent="0.5">
      <c r="A4">
        <v>390.28</v>
      </c>
      <c r="B4">
        <v>101.3</v>
      </c>
      <c r="C4">
        <v>0.13700000000000001</v>
      </c>
      <c r="D4">
        <v>0.13200000000000001</v>
      </c>
      <c r="E4">
        <v>1.927</v>
      </c>
      <c r="F4">
        <v>1.014</v>
      </c>
    </row>
    <row r="5" spans="1:6" x14ac:dyDescent="0.5">
      <c r="A5">
        <v>390.33</v>
      </c>
      <c r="B5">
        <v>101.3</v>
      </c>
      <c r="C5">
        <v>0.19999999999999996</v>
      </c>
      <c r="D5">
        <v>0.17600000000000005</v>
      </c>
      <c r="E5">
        <v>1.7729999999999999</v>
      </c>
      <c r="F5">
        <v>1.0349999999999999</v>
      </c>
    </row>
    <row r="6" spans="1:6" x14ac:dyDescent="0.5">
      <c r="A6">
        <v>390.51</v>
      </c>
      <c r="B6">
        <v>101.3</v>
      </c>
      <c r="C6">
        <v>0.26100000000000001</v>
      </c>
      <c r="D6">
        <v>0.21199999999999997</v>
      </c>
      <c r="E6">
        <v>1.6220000000000001</v>
      </c>
      <c r="F6">
        <v>1.0649999999999999</v>
      </c>
    </row>
    <row r="7" spans="1:6" x14ac:dyDescent="0.5">
      <c r="A7">
        <v>390.98</v>
      </c>
      <c r="B7">
        <v>101.3</v>
      </c>
      <c r="C7">
        <v>0.32299999999999995</v>
      </c>
      <c r="D7">
        <v>0.24099999999999999</v>
      </c>
      <c r="E7">
        <v>1.4650000000000001</v>
      </c>
      <c r="F7">
        <v>1.1020000000000001</v>
      </c>
    </row>
    <row r="8" spans="1:6" x14ac:dyDescent="0.5">
      <c r="A8">
        <v>391.21</v>
      </c>
      <c r="B8">
        <v>101.3</v>
      </c>
      <c r="C8">
        <v>0.379</v>
      </c>
      <c r="D8">
        <v>0.27100000000000002</v>
      </c>
      <c r="E8">
        <v>1.3919999999999999</v>
      </c>
      <c r="F8">
        <v>1.145</v>
      </c>
    </row>
    <row r="9" spans="1:6" x14ac:dyDescent="0.5">
      <c r="A9">
        <v>391.74</v>
      </c>
      <c r="B9">
        <v>101.3</v>
      </c>
      <c r="C9">
        <v>0.44499999999999995</v>
      </c>
      <c r="D9">
        <v>0.30000000000000004</v>
      </c>
      <c r="E9">
        <v>1.292</v>
      </c>
      <c r="F9">
        <v>1.2070000000000001</v>
      </c>
    </row>
    <row r="10" spans="1:6" x14ac:dyDescent="0.5">
      <c r="A10">
        <v>392.49</v>
      </c>
      <c r="B10">
        <v>101.3</v>
      </c>
      <c r="C10">
        <v>0.50800000000000001</v>
      </c>
      <c r="D10">
        <v>0.32999999999999996</v>
      </c>
      <c r="E10">
        <v>1.218</v>
      </c>
      <c r="F10">
        <v>1.2669999999999999</v>
      </c>
    </row>
    <row r="11" spans="1:6" x14ac:dyDescent="0.5">
      <c r="A11">
        <v>393.09</v>
      </c>
      <c r="B11">
        <v>101.3</v>
      </c>
      <c r="C11">
        <v>0.56400000000000006</v>
      </c>
      <c r="D11">
        <v>0.35499999999999998</v>
      </c>
      <c r="E11">
        <v>1.157</v>
      </c>
      <c r="F11">
        <v>1.35</v>
      </c>
    </row>
    <row r="12" spans="1:6" x14ac:dyDescent="0.5">
      <c r="A12">
        <v>393.78</v>
      </c>
      <c r="B12">
        <v>101.3</v>
      </c>
      <c r="C12">
        <v>0.61099999999999999</v>
      </c>
      <c r="D12">
        <v>0.378</v>
      </c>
      <c r="E12">
        <v>1.113</v>
      </c>
      <c r="F12">
        <v>1.423</v>
      </c>
    </row>
    <row r="13" spans="1:6" x14ac:dyDescent="0.5">
      <c r="A13">
        <v>394.47</v>
      </c>
      <c r="B13">
        <v>101.3</v>
      </c>
      <c r="C13">
        <v>0.66100000000000003</v>
      </c>
      <c r="D13">
        <v>0.41000000000000003</v>
      </c>
      <c r="E13">
        <v>1.0920000000000001</v>
      </c>
      <c r="F13">
        <v>1.512</v>
      </c>
    </row>
    <row r="14" spans="1:6" x14ac:dyDescent="0.5">
      <c r="A14">
        <v>395.51</v>
      </c>
      <c r="B14">
        <v>101.3</v>
      </c>
      <c r="C14">
        <v>0.71100000000000008</v>
      </c>
      <c r="D14">
        <v>0.44299999999999995</v>
      </c>
      <c r="E14">
        <v>1.0620000000000001</v>
      </c>
      <c r="F14">
        <v>1.6160000000000001</v>
      </c>
    </row>
    <row r="15" spans="1:6" x14ac:dyDescent="0.5">
      <c r="A15">
        <v>396.73</v>
      </c>
      <c r="B15">
        <v>101.3</v>
      </c>
      <c r="C15">
        <v>0.75</v>
      </c>
      <c r="D15">
        <v>0.47699999999999998</v>
      </c>
      <c r="E15">
        <v>1.044</v>
      </c>
      <c r="F15">
        <v>1.679</v>
      </c>
    </row>
    <row r="16" spans="1:6" x14ac:dyDescent="0.5">
      <c r="A16">
        <v>398.58</v>
      </c>
      <c r="B16">
        <v>101.3</v>
      </c>
      <c r="C16">
        <v>0.80400000000000005</v>
      </c>
      <c r="D16">
        <v>0.52500000000000002</v>
      </c>
      <c r="E16">
        <v>1.0129999999999999</v>
      </c>
      <c r="F16">
        <v>1.8280000000000001</v>
      </c>
    </row>
    <row r="17" spans="1:6" x14ac:dyDescent="0.5">
      <c r="A17">
        <v>401.9</v>
      </c>
      <c r="B17">
        <v>101.3</v>
      </c>
      <c r="C17">
        <v>0.85899999999999999</v>
      </c>
      <c r="D17">
        <v>0.61499999999999999</v>
      </c>
      <c r="E17">
        <v>1.006</v>
      </c>
      <c r="F17">
        <v>1.837</v>
      </c>
    </row>
    <row r="18" spans="1:6" x14ac:dyDescent="0.5">
      <c r="A18">
        <v>403.47</v>
      </c>
      <c r="B18">
        <v>101.3</v>
      </c>
      <c r="C18">
        <v>0.88400000000000001</v>
      </c>
      <c r="D18">
        <v>0.66599999999999993</v>
      </c>
      <c r="E18">
        <v>1.0109999999999999</v>
      </c>
      <c r="F18">
        <v>1.837</v>
      </c>
    </row>
    <row r="19" spans="1:6" x14ac:dyDescent="0.5">
      <c r="A19">
        <v>405.77</v>
      </c>
      <c r="B19">
        <v>101.3</v>
      </c>
      <c r="C19">
        <v>0.91800000000000004</v>
      </c>
      <c r="D19">
        <v>0.73499999999999999</v>
      </c>
      <c r="E19">
        <v>1.0029999999999999</v>
      </c>
      <c r="F19">
        <v>1.929</v>
      </c>
    </row>
    <row r="20" spans="1:6" x14ac:dyDescent="0.5">
      <c r="A20">
        <v>408.39</v>
      </c>
      <c r="B20">
        <v>101.3</v>
      </c>
      <c r="C20">
        <v>0.95</v>
      </c>
      <c r="D20">
        <v>0.81899999999999995</v>
      </c>
      <c r="E20">
        <v>1.002</v>
      </c>
      <c r="F20">
        <v>1.988</v>
      </c>
    </row>
    <row r="21" spans="1:6" x14ac:dyDescent="0.5">
      <c r="A21">
        <v>411.08</v>
      </c>
      <c r="B21">
        <v>101.3</v>
      </c>
      <c r="C21">
        <v>0.97499999999999998</v>
      </c>
      <c r="D21">
        <v>0.89900000000000002</v>
      </c>
      <c r="E21">
        <v>0.99299999999999999</v>
      </c>
      <c r="F21">
        <v>2.0539999999999998</v>
      </c>
    </row>
    <row r="22" spans="1:6" x14ac:dyDescent="0.5">
      <c r="A22">
        <v>413.67</v>
      </c>
      <c r="B22">
        <v>101.3</v>
      </c>
      <c r="C22">
        <v>1</v>
      </c>
      <c r="D22">
        <v>1</v>
      </c>
      <c r="E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30BF-6FE0-478D-9526-CDE9C23C37B6}">
  <dimension ref="A1:D18"/>
  <sheetViews>
    <sheetView workbookViewId="0">
      <selection activeCell="D4" sqref="D4"/>
    </sheetView>
  </sheetViews>
  <sheetFormatPr baseColWidth="10" defaultRowHeight="15.75" x14ac:dyDescent="0.5"/>
  <sheetData>
    <row r="1" spans="1:4" x14ac:dyDescent="0.5">
      <c r="A1" t="s">
        <v>18</v>
      </c>
      <c r="B1" t="s">
        <v>20</v>
      </c>
      <c r="C1" t="s">
        <v>9</v>
      </c>
      <c r="D1" t="s">
        <v>19</v>
      </c>
    </row>
    <row r="2" spans="1:4" x14ac:dyDescent="0.5">
      <c r="A2">
        <v>298.14999999999998</v>
      </c>
      <c r="B2">
        <v>0.872</v>
      </c>
      <c r="C2">
        <v>0</v>
      </c>
      <c r="D2">
        <v>0</v>
      </c>
    </row>
    <row r="3" spans="1:4" x14ac:dyDescent="0.5">
      <c r="A3">
        <v>298.14999999999998</v>
      </c>
      <c r="B3" s="4">
        <v>0.94279999999999997</v>
      </c>
      <c r="C3">
        <v>3.2199999999999999E-2</v>
      </c>
      <c r="D3">
        <v>9.9900000000000003E-2</v>
      </c>
    </row>
    <row r="4" spans="1:4" x14ac:dyDescent="0.5">
      <c r="A4">
        <v>298.14999999999998</v>
      </c>
      <c r="B4" s="4">
        <v>0.99619999999999997</v>
      </c>
      <c r="C4">
        <v>6.5100000000000005E-2</v>
      </c>
      <c r="D4">
        <v>0.1729</v>
      </c>
    </row>
    <row r="5" spans="1:4" x14ac:dyDescent="0.5">
      <c r="A5">
        <v>298.14999999999998</v>
      </c>
      <c r="B5" s="1">
        <v>1.05</v>
      </c>
      <c r="C5">
        <v>0.1089</v>
      </c>
      <c r="D5">
        <v>0.24379999999999999</v>
      </c>
    </row>
    <row r="6" spans="1:4" x14ac:dyDescent="0.5">
      <c r="A6">
        <v>298.14999999999998</v>
      </c>
      <c r="B6" s="1">
        <v>1.119</v>
      </c>
      <c r="C6">
        <v>0.19220000000000001</v>
      </c>
      <c r="D6">
        <v>0.33460000000000001</v>
      </c>
    </row>
    <row r="7" spans="1:4" x14ac:dyDescent="0.5">
      <c r="A7">
        <v>298.14999999999998</v>
      </c>
      <c r="B7" s="1">
        <v>1.171</v>
      </c>
      <c r="C7">
        <v>0.30459999999999998</v>
      </c>
      <c r="D7">
        <v>0.41599999999999998</v>
      </c>
    </row>
    <row r="8" spans="1:4" x14ac:dyDescent="0.5">
      <c r="A8">
        <v>298.14999999999998</v>
      </c>
      <c r="B8" s="1">
        <v>1.196</v>
      </c>
      <c r="C8">
        <v>0.41110000000000002</v>
      </c>
      <c r="D8">
        <v>0.47349999999999998</v>
      </c>
    </row>
    <row r="9" spans="1:4" x14ac:dyDescent="0.5">
      <c r="A9">
        <v>298.14999999999998</v>
      </c>
      <c r="B9" s="1">
        <v>1.1970000000000001</v>
      </c>
      <c r="C9">
        <v>0.42159999999999997</v>
      </c>
      <c r="D9">
        <v>0.47849999999999998</v>
      </c>
    </row>
    <row r="10" spans="1:4" x14ac:dyDescent="0.5">
      <c r="A10">
        <v>298.14999999999998</v>
      </c>
      <c r="B10" s="1">
        <v>1.2030000000000001</v>
      </c>
      <c r="C10">
        <v>0.49259999999999998</v>
      </c>
      <c r="D10">
        <v>0.5101</v>
      </c>
    </row>
    <row r="11" spans="1:4" x14ac:dyDescent="0.5">
      <c r="A11">
        <v>298.14999999999998</v>
      </c>
      <c r="B11" s="1">
        <v>1.2030000000000001</v>
      </c>
      <c r="C11">
        <v>0.50329999999999997</v>
      </c>
      <c r="D11">
        <v>0.51449999999999996</v>
      </c>
    </row>
    <row r="12" spans="1:4" x14ac:dyDescent="0.5">
      <c r="A12">
        <v>298.14999999999998</v>
      </c>
      <c r="B12" s="1">
        <v>1.2</v>
      </c>
      <c r="C12">
        <v>0.59630000000000005</v>
      </c>
      <c r="D12">
        <v>0.5504</v>
      </c>
    </row>
    <row r="13" spans="1:4" x14ac:dyDescent="0.5">
      <c r="A13">
        <v>298.14999999999998</v>
      </c>
      <c r="B13" s="1">
        <v>1.1859999999999999</v>
      </c>
      <c r="C13">
        <v>0.69910000000000005</v>
      </c>
      <c r="D13">
        <v>0.58720000000000006</v>
      </c>
    </row>
    <row r="14" spans="1:4" x14ac:dyDescent="0.5">
      <c r="A14">
        <v>298.14999999999998</v>
      </c>
      <c r="B14" s="1">
        <v>1.1519999999999999</v>
      </c>
      <c r="C14">
        <v>0.80869999999999997</v>
      </c>
      <c r="D14">
        <v>0.63470000000000004</v>
      </c>
    </row>
    <row r="15" spans="1:4" x14ac:dyDescent="0.5">
      <c r="A15">
        <v>298.14999999999998</v>
      </c>
      <c r="B15" s="1">
        <v>1.0960000000000001</v>
      </c>
      <c r="C15">
        <v>0.88570000000000004</v>
      </c>
      <c r="D15">
        <v>0.69389999999999996</v>
      </c>
    </row>
    <row r="16" spans="1:4" x14ac:dyDescent="0.5">
      <c r="A16">
        <v>298.14999999999998</v>
      </c>
      <c r="B16" s="1">
        <v>1.0249999999999999</v>
      </c>
      <c r="C16">
        <v>0.93469999999999998</v>
      </c>
      <c r="D16">
        <v>0.76580000000000004</v>
      </c>
    </row>
    <row r="17" spans="1:4" x14ac:dyDescent="0.5">
      <c r="A17">
        <v>298.14999999999998</v>
      </c>
      <c r="B17" s="1">
        <v>0.94599999999999995</v>
      </c>
      <c r="C17">
        <v>0.96789999999999998</v>
      </c>
      <c r="D17">
        <v>0.85170000000000001</v>
      </c>
    </row>
    <row r="18" spans="1:4" x14ac:dyDescent="0.5">
      <c r="A18">
        <v>298.14999999999998</v>
      </c>
      <c r="B18" s="1">
        <v>0.82399999999999995</v>
      </c>
      <c r="C18">
        <v>1</v>
      </c>
      <c r="D1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CDAF-2536-4838-ABE9-08005FD8D090}">
  <dimension ref="A1:B16"/>
  <sheetViews>
    <sheetView zoomScaleNormal="100" workbookViewId="0">
      <selection activeCell="G20" sqref="G20"/>
    </sheetView>
  </sheetViews>
  <sheetFormatPr baseColWidth="10" defaultRowHeight="15.75" x14ac:dyDescent="0.5"/>
  <cols>
    <col min="5" max="5" width="11.6875" bestFit="1" customWidth="1"/>
    <col min="12" max="12" width="11.6875" bestFit="1" customWidth="1"/>
  </cols>
  <sheetData>
    <row r="1" spans="1:2" x14ac:dyDescent="0.5">
      <c r="A1" t="s">
        <v>18</v>
      </c>
      <c r="B1" t="s">
        <v>20</v>
      </c>
    </row>
    <row r="2" spans="1:2" x14ac:dyDescent="0.5">
      <c r="A2">
        <v>375.08</v>
      </c>
      <c r="B2" s="8">
        <v>30</v>
      </c>
    </row>
    <row r="3" spans="1:2" x14ac:dyDescent="0.5">
      <c r="A3">
        <v>379.59</v>
      </c>
      <c r="B3" s="8">
        <v>35</v>
      </c>
    </row>
    <row r="4" spans="1:2" x14ac:dyDescent="0.5">
      <c r="A4">
        <v>383.59</v>
      </c>
      <c r="B4" s="8">
        <v>40</v>
      </c>
    </row>
    <row r="5" spans="1:2" x14ac:dyDescent="0.5">
      <c r="A5">
        <v>387.19</v>
      </c>
      <c r="B5" s="8">
        <v>45</v>
      </c>
    </row>
    <row r="6" spans="1:2" x14ac:dyDescent="0.5">
      <c r="A6">
        <v>390.45</v>
      </c>
      <c r="B6" s="8">
        <v>50</v>
      </c>
    </row>
    <row r="7" spans="1:2" x14ac:dyDescent="0.5">
      <c r="A7">
        <v>393.45</v>
      </c>
      <c r="B7" s="8">
        <v>55</v>
      </c>
    </row>
    <row r="8" spans="1:2" x14ac:dyDescent="0.5">
      <c r="A8">
        <v>396.27</v>
      </c>
      <c r="B8" s="8">
        <v>60</v>
      </c>
    </row>
    <row r="9" spans="1:2" x14ac:dyDescent="0.5">
      <c r="A9" s="3">
        <v>398.7</v>
      </c>
      <c r="B9" s="8">
        <v>65</v>
      </c>
    </row>
    <row r="10" spans="1:2" x14ac:dyDescent="0.5">
      <c r="A10" s="3">
        <v>401.09999999999997</v>
      </c>
      <c r="B10" s="8">
        <v>70</v>
      </c>
    </row>
    <row r="11" spans="1:2" x14ac:dyDescent="0.5">
      <c r="A11">
        <v>403.33</v>
      </c>
      <c r="B11" s="8">
        <v>75</v>
      </c>
    </row>
    <row r="12" spans="1:2" x14ac:dyDescent="0.5">
      <c r="A12">
        <v>405.49</v>
      </c>
      <c r="B12" s="8">
        <v>80</v>
      </c>
    </row>
    <row r="13" spans="1:2" x14ac:dyDescent="0.5">
      <c r="A13">
        <v>407.52</v>
      </c>
      <c r="B13" s="8">
        <v>85</v>
      </c>
    </row>
    <row r="14" spans="1:2" x14ac:dyDescent="0.5">
      <c r="A14">
        <v>409.41999999999996</v>
      </c>
      <c r="B14" s="8">
        <v>90</v>
      </c>
    </row>
    <row r="15" spans="1:2" x14ac:dyDescent="0.5">
      <c r="A15">
        <v>411.01</v>
      </c>
      <c r="B15" s="8">
        <v>95</v>
      </c>
    </row>
    <row r="16" spans="1:2" x14ac:dyDescent="0.5">
      <c r="A16">
        <v>413.16999999999996</v>
      </c>
      <c r="B16" s="8">
        <v>101.3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B57B-D017-4143-BE50-E630F16DBB50}">
  <dimension ref="A1:B16"/>
  <sheetViews>
    <sheetView workbookViewId="0">
      <selection activeCell="G15" sqref="G15"/>
    </sheetView>
  </sheetViews>
  <sheetFormatPr baseColWidth="10" defaultRowHeight="15.75" x14ac:dyDescent="0.5"/>
  <sheetData>
    <row r="1" spans="1:2" x14ac:dyDescent="0.5">
      <c r="A1" t="s">
        <v>18</v>
      </c>
      <c r="B1" t="s">
        <v>20</v>
      </c>
    </row>
    <row r="2" spans="1:2" x14ac:dyDescent="0.5">
      <c r="A2" s="3">
        <v>375.02</v>
      </c>
      <c r="B2">
        <v>30.01</v>
      </c>
    </row>
    <row r="3" spans="1:2" x14ac:dyDescent="0.5">
      <c r="A3" s="3">
        <v>379.54999999999995</v>
      </c>
      <c r="B3">
        <v>35.010000000000005</v>
      </c>
    </row>
    <row r="4" spans="1:2" x14ac:dyDescent="0.5">
      <c r="A4" s="3">
        <v>383.53</v>
      </c>
      <c r="B4">
        <v>40.010000000000005</v>
      </c>
    </row>
    <row r="5" spans="1:2" x14ac:dyDescent="0.5">
      <c r="A5" s="3">
        <v>387.09999999999997</v>
      </c>
      <c r="B5">
        <v>45.010000000000005</v>
      </c>
    </row>
    <row r="6" spans="1:2" x14ac:dyDescent="0.5">
      <c r="A6" s="3">
        <v>390.29999999999995</v>
      </c>
      <c r="B6">
        <v>50.010000000000005</v>
      </c>
    </row>
    <row r="7" spans="1:2" x14ac:dyDescent="0.5">
      <c r="A7" s="3">
        <v>393.25</v>
      </c>
      <c r="B7">
        <v>55.010000000000005</v>
      </c>
    </row>
    <row r="8" spans="1:2" x14ac:dyDescent="0.5">
      <c r="A8" s="3">
        <v>395.9</v>
      </c>
      <c r="B8">
        <v>60.010000000000005</v>
      </c>
    </row>
    <row r="9" spans="1:2" x14ac:dyDescent="0.5">
      <c r="A9" s="3">
        <v>398.24</v>
      </c>
      <c r="B9">
        <v>65.010000000000005</v>
      </c>
    </row>
    <row r="10" spans="1:2" x14ac:dyDescent="0.5">
      <c r="A10" s="3">
        <v>400.21</v>
      </c>
      <c r="B10">
        <v>70.010000000000005</v>
      </c>
    </row>
    <row r="11" spans="1:2" x14ac:dyDescent="0.5">
      <c r="A11" s="3">
        <v>402</v>
      </c>
      <c r="B11">
        <v>75.010000000000005</v>
      </c>
    </row>
    <row r="12" spans="1:2" x14ac:dyDescent="0.5">
      <c r="A12" s="3">
        <v>404.04999999999995</v>
      </c>
      <c r="B12">
        <v>80.010000000000005</v>
      </c>
    </row>
    <row r="13" spans="1:2" x14ac:dyDescent="0.5">
      <c r="A13" s="3">
        <v>406.04999999999995</v>
      </c>
      <c r="B13">
        <v>85.01</v>
      </c>
    </row>
    <row r="14" spans="1:2" x14ac:dyDescent="0.5">
      <c r="A14" s="3">
        <v>408.02</v>
      </c>
      <c r="B14">
        <v>90.01</v>
      </c>
    </row>
    <row r="15" spans="1:2" x14ac:dyDescent="0.5">
      <c r="A15" s="3">
        <v>409.95</v>
      </c>
      <c r="B15">
        <v>95.01</v>
      </c>
    </row>
    <row r="16" spans="1:2" x14ac:dyDescent="0.5">
      <c r="A16" s="3">
        <v>412.55999999999995</v>
      </c>
      <c r="B16">
        <v>102.2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9BF0-43E3-45DA-9A25-9DD05188F8C1}">
  <dimension ref="A1:B18"/>
  <sheetViews>
    <sheetView workbookViewId="0">
      <selection activeCell="E14" sqref="E14"/>
    </sheetView>
  </sheetViews>
  <sheetFormatPr baseColWidth="10" defaultRowHeight="15.75" x14ac:dyDescent="0.5"/>
  <sheetData>
    <row r="1" spans="1:2" x14ac:dyDescent="0.5">
      <c r="A1" t="s">
        <v>18</v>
      </c>
      <c r="B1" t="s">
        <v>20</v>
      </c>
    </row>
    <row r="2" spans="1:2" x14ac:dyDescent="0.5">
      <c r="A2" s="3">
        <v>376.37</v>
      </c>
      <c r="B2" s="3">
        <v>31.96</v>
      </c>
    </row>
    <row r="3" spans="1:2" x14ac:dyDescent="0.5">
      <c r="A3" s="3">
        <v>379.91</v>
      </c>
      <c r="B3" s="3">
        <v>35.96</v>
      </c>
    </row>
    <row r="4" spans="1:2" x14ac:dyDescent="0.5">
      <c r="A4" s="3">
        <v>383.09</v>
      </c>
      <c r="B4" s="3">
        <v>39.94</v>
      </c>
    </row>
    <row r="5" spans="1:2" x14ac:dyDescent="0.5">
      <c r="A5" s="3">
        <v>386.03</v>
      </c>
      <c r="B5" s="3">
        <v>43.95</v>
      </c>
    </row>
    <row r="6" spans="1:2" x14ac:dyDescent="0.5">
      <c r="A6" s="3">
        <v>388.78</v>
      </c>
      <c r="B6" s="3">
        <v>47.95</v>
      </c>
    </row>
    <row r="7" spans="1:2" x14ac:dyDescent="0.5">
      <c r="A7" s="3">
        <v>391.29</v>
      </c>
      <c r="B7" s="3">
        <v>51.85</v>
      </c>
    </row>
    <row r="8" spans="1:2" x14ac:dyDescent="0.5">
      <c r="A8" s="3">
        <v>393.59</v>
      </c>
      <c r="B8" s="3">
        <v>55.85</v>
      </c>
    </row>
    <row r="9" spans="1:2" x14ac:dyDescent="0.5">
      <c r="A9" s="3">
        <v>395.84</v>
      </c>
      <c r="B9" s="3">
        <v>59.9</v>
      </c>
    </row>
    <row r="10" spans="1:2" x14ac:dyDescent="0.5">
      <c r="A10" s="3">
        <v>398.48</v>
      </c>
      <c r="B10" s="3">
        <v>64.900000000000006</v>
      </c>
    </row>
    <row r="11" spans="1:2" x14ac:dyDescent="0.5">
      <c r="A11" s="3">
        <v>400.94</v>
      </c>
      <c r="B11" s="3">
        <v>69.92</v>
      </c>
    </row>
    <row r="12" spans="1:2" x14ac:dyDescent="0.5">
      <c r="A12" s="3">
        <v>403.18</v>
      </c>
      <c r="B12" s="3">
        <v>74.81</v>
      </c>
    </row>
    <row r="13" spans="1:2" x14ac:dyDescent="0.5">
      <c r="A13" s="3">
        <v>405.4</v>
      </c>
      <c r="B13" s="3">
        <v>79.930000000000007</v>
      </c>
    </row>
    <row r="14" spans="1:2" x14ac:dyDescent="0.5">
      <c r="A14" s="3">
        <v>407.43</v>
      </c>
      <c r="B14" s="3">
        <v>84.78</v>
      </c>
    </row>
    <row r="15" spans="1:2" x14ac:dyDescent="0.5">
      <c r="A15" s="3">
        <v>409.2</v>
      </c>
      <c r="B15" s="3">
        <v>89.87</v>
      </c>
    </row>
    <row r="16" spans="1:2" x14ac:dyDescent="0.5">
      <c r="A16" s="3">
        <v>411.12</v>
      </c>
      <c r="B16" s="3">
        <v>94.88</v>
      </c>
    </row>
    <row r="17" spans="1:2" x14ac:dyDescent="0.5">
      <c r="A17">
        <v>413.11</v>
      </c>
      <c r="B17" s="3">
        <v>100.12</v>
      </c>
    </row>
    <row r="18" spans="1:2" x14ac:dyDescent="0.5">
      <c r="A18">
        <v>413.67</v>
      </c>
      <c r="B18" s="3">
        <v>101.3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6BA4-EE9D-4797-A7D9-7E9105E34E4F}">
  <dimension ref="A1:B16"/>
  <sheetViews>
    <sheetView zoomScaleNormal="100" workbookViewId="0">
      <selection activeCell="A3" sqref="A3"/>
    </sheetView>
  </sheetViews>
  <sheetFormatPr baseColWidth="10" defaultRowHeight="15.75" x14ac:dyDescent="0.5"/>
  <sheetData>
    <row r="1" spans="1:2" x14ac:dyDescent="0.5">
      <c r="A1" t="s">
        <v>18</v>
      </c>
      <c r="B1" t="s">
        <v>20</v>
      </c>
    </row>
    <row r="2" spans="1:2" x14ac:dyDescent="0.5">
      <c r="A2">
        <v>359.85999999999996</v>
      </c>
      <c r="B2" s="8">
        <v>30</v>
      </c>
    </row>
    <row r="3" spans="1:2" x14ac:dyDescent="0.5">
      <c r="A3">
        <v>363.39</v>
      </c>
      <c r="B3" s="8">
        <v>35</v>
      </c>
    </row>
    <row r="4" spans="1:2" x14ac:dyDescent="0.5">
      <c r="A4">
        <v>366.52</v>
      </c>
      <c r="B4" s="8">
        <v>40</v>
      </c>
    </row>
    <row r="5" spans="1:2" x14ac:dyDescent="0.5">
      <c r="A5">
        <v>369.35999999999996</v>
      </c>
      <c r="B5" s="8">
        <v>45</v>
      </c>
    </row>
    <row r="6" spans="1:2" x14ac:dyDescent="0.5">
      <c r="A6">
        <v>371.92999999999995</v>
      </c>
      <c r="B6" s="8">
        <v>50</v>
      </c>
    </row>
    <row r="7" spans="1:2" x14ac:dyDescent="0.5">
      <c r="A7">
        <v>374.30999999999995</v>
      </c>
      <c r="B7" s="8">
        <v>55</v>
      </c>
    </row>
    <row r="8" spans="1:2" x14ac:dyDescent="0.5">
      <c r="A8">
        <v>376.52</v>
      </c>
      <c r="B8" s="8">
        <v>60</v>
      </c>
    </row>
    <row r="9" spans="1:2" x14ac:dyDescent="0.5">
      <c r="A9">
        <v>378.52</v>
      </c>
      <c r="B9" s="8">
        <v>65</v>
      </c>
    </row>
    <row r="10" spans="1:2" x14ac:dyDescent="0.5">
      <c r="A10">
        <v>380.46999999999997</v>
      </c>
      <c r="B10" s="8">
        <v>70</v>
      </c>
    </row>
    <row r="11" spans="1:2" x14ac:dyDescent="0.5">
      <c r="A11" s="3">
        <v>382.29999999999995</v>
      </c>
      <c r="B11" s="8">
        <v>75</v>
      </c>
    </row>
    <row r="12" spans="1:2" x14ac:dyDescent="0.5">
      <c r="A12">
        <v>384.03999999999996</v>
      </c>
      <c r="B12" s="8">
        <v>80</v>
      </c>
    </row>
    <row r="13" spans="1:2" x14ac:dyDescent="0.5">
      <c r="A13">
        <v>385.69</v>
      </c>
      <c r="B13" s="8">
        <v>85</v>
      </c>
    </row>
    <row r="14" spans="1:2" x14ac:dyDescent="0.5">
      <c r="A14">
        <v>387.25</v>
      </c>
      <c r="B14" s="8">
        <v>90</v>
      </c>
    </row>
    <row r="15" spans="1:2" x14ac:dyDescent="0.5">
      <c r="A15">
        <v>388.75</v>
      </c>
      <c r="B15" s="8">
        <v>95</v>
      </c>
    </row>
    <row r="16" spans="1:2" x14ac:dyDescent="0.5">
      <c r="A16">
        <v>390.54999999999995</v>
      </c>
      <c r="B16" s="8">
        <v>101.3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0AC8-CF2C-1041-B6EF-4A5E5FD10412}">
  <dimension ref="A4:I12"/>
  <sheetViews>
    <sheetView tabSelected="1" topLeftCell="A4" workbookViewId="0">
      <selection activeCell="F11" sqref="F11"/>
    </sheetView>
  </sheetViews>
  <sheetFormatPr baseColWidth="10" defaultRowHeight="15.75" x14ac:dyDescent="0.5"/>
  <cols>
    <col min="1" max="1" width="8.8125" bestFit="1" customWidth="1"/>
    <col min="2" max="2" width="11.5" bestFit="1" customWidth="1"/>
    <col min="3" max="3" width="12.3125" bestFit="1" customWidth="1"/>
    <col min="4" max="4" width="17.5" bestFit="1" customWidth="1"/>
    <col min="5" max="5" width="9.1875" bestFit="1" customWidth="1"/>
    <col min="6" max="6" width="15" bestFit="1" customWidth="1"/>
    <col min="7" max="7" width="9.1875" bestFit="1" customWidth="1"/>
    <col min="8" max="8" width="16" bestFit="1" customWidth="1"/>
  </cols>
  <sheetData>
    <row r="4" spans="1:9" x14ac:dyDescent="0.5">
      <c r="D4" t="s">
        <v>1</v>
      </c>
      <c r="F4" t="s">
        <v>2</v>
      </c>
      <c r="H4" t="s">
        <v>3</v>
      </c>
    </row>
    <row r="5" spans="1:9" x14ac:dyDescent="0.5">
      <c r="B5" t="s">
        <v>4</v>
      </c>
      <c r="C5" t="s">
        <v>5</v>
      </c>
      <c r="D5" t="s">
        <v>6</v>
      </c>
      <c r="E5" t="s">
        <v>7</v>
      </c>
      <c r="F5" t="s">
        <v>6</v>
      </c>
      <c r="G5" t="s">
        <v>7</v>
      </c>
      <c r="H5" t="s">
        <v>6</v>
      </c>
      <c r="I5" t="s">
        <v>7</v>
      </c>
    </row>
    <row r="6" spans="1:9" x14ac:dyDescent="0.5">
      <c r="A6" t="s">
        <v>0</v>
      </c>
      <c r="B6">
        <v>99.953000000000003</v>
      </c>
      <c r="C6">
        <v>140.80000000000001</v>
      </c>
      <c r="D6">
        <v>1.3979999999999999</v>
      </c>
      <c r="E6">
        <v>1.3968</v>
      </c>
      <c r="F6" s="7">
        <v>0.76502599999999998</v>
      </c>
      <c r="G6">
        <v>0.7853</v>
      </c>
      <c r="H6">
        <v>22.17</v>
      </c>
      <c r="I6">
        <v>22.437999999999999</v>
      </c>
    </row>
    <row r="7" spans="1:9" x14ac:dyDescent="0.5">
      <c r="A7" t="s">
        <v>8</v>
      </c>
      <c r="B7">
        <v>99.972999999999999</v>
      </c>
      <c r="C7">
        <v>17.66</v>
      </c>
      <c r="D7">
        <v>1.3979900000000001</v>
      </c>
      <c r="E7">
        <v>1.3971</v>
      </c>
      <c r="F7">
        <v>0.80562</v>
      </c>
      <c r="G7">
        <v>0.8256</v>
      </c>
      <c r="H7">
        <v>24.46</v>
      </c>
      <c r="I7">
        <v>24.367999999999999</v>
      </c>
    </row>
    <row r="8" spans="1:9" x14ac:dyDescent="0.5">
      <c r="H8">
        <v>24.98</v>
      </c>
    </row>
    <row r="10" spans="1:9" x14ac:dyDescent="0.5">
      <c r="C10" t="s">
        <v>11</v>
      </c>
      <c r="D10" t="s">
        <v>12</v>
      </c>
      <c r="E10" t="s">
        <v>13</v>
      </c>
      <c r="F10" t="s">
        <v>10</v>
      </c>
    </row>
    <row r="11" spans="1:9" x14ac:dyDescent="0.5">
      <c r="A11" t="s">
        <v>14</v>
      </c>
      <c r="B11" t="s">
        <v>0</v>
      </c>
      <c r="C11">
        <v>130.22999999999999</v>
      </c>
      <c r="D11">
        <v>0.76400000000000001</v>
      </c>
      <c r="E11">
        <v>170.45811518324606</v>
      </c>
      <c r="F11">
        <v>0.29599999999999999</v>
      </c>
    </row>
    <row r="12" spans="1:9" x14ac:dyDescent="0.5">
      <c r="A12" t="s">
        <v>15</v>
      </c>
      <c r="B12" t="s">
        <v>16</v>
      </c>
      <c r="C12">
        <v>74.122799999999998</v>
      </c>
      <c r="D12">
        <v>0.80570399999999998</v>
      </c>
      <c r="E12">
        <v>91.997557415626588</v>
      </c>
      <c r="F12">
        <v>2.5880000000000001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D5AE-8921-46B6-98DF-BE09F2BE52AA}">
  <dimension ref="A1:D2"/>
  <sheetViews>
    <sheetView workbookViewId="0">
      <selection activeCell="D2" sqref="D2"/>
    </sheetView>
  </sheetViews>
  <sheetFormatPr baseColWidth="10" defaultRowHeight="15.75" x14ac:dyDescent="0.5"/>
  <sheetData>
    <row r="1" spans="1:4" x14ac:dyDescent="0.5">
      <c r="A1" t="s">
        <v>18</v>
      </c>
      <c r="B1" t="s">
        <v>20</v>
      </c>
      <c r="C1" t="s">
        <v>21</v>
      </c>
      <c r="D1" t="s">
        <v>22</v>
      </c>
    </row>
    <row r="2" spans="1:4" x14ac:dyDescent="0.5">
      <c r="A2">
        <v>298.14999999999998</v>
      </c>
      <c r="B2">
        <v>101.3</v>
      </c>
      <c r="C2">
        <v>0.76502999999999999</v>
      </c>
      <c r="D2" s="8">
        <f>ROUND(C2/puros!C11*1000000,1)</f>
        <v>5874.5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5756-084A-4CB5-9A18-A9D9A130396A}">
  <dimension ref="A1:D22"/>
  <sheetViews>
    <sheetView workbookViewId="0">
      <selection activeCell="D6" sqref="D6"/>
    </sheetView>
  </sheetViews>
  <sheetFormatPr baseColWidth="10" defaultRowHeight="15.75" x14ac:dyDescent="0.5"/>
  <sheetData>
    <row r="1" spans="1:4" x14ac:dyDescent="0.5">
      <c r="A1" t="s">
        <v>9</v>
      </c>
      <c r="B1" t="s">
        <v>21</v>
      </c>
    </row>
    <row r="2" spans="1:4" x14ac:dyDescent="0.5">
      <c r="A2" s="1">
        <v>0</v>
      </c>
      <c r="B2">
        <v>0.80584</v>
      </c>
      <c r="D2" s="1"/>
    </row>
    <row r="3" spans="1:4" x14ac:dyDescent="0.5">
      <c r="A3" s="1">
        <v>5.2999999999999999E-2</v>
      </c>
      <c r="B3">
        <v>0.80250999999999995</v>
      </c>
      <c r="D3" s="1"/>
    </row>
    <row r="4" spans="1:4" x14ac:dyDescent="0.5">
      <c r="A4" s="1">
        <v>0.10100000000000001</v>
      </c>
      <c r="B4">
        <v>0.79966000000000004</v>
      </c>
      <c r="D4" s="1"/>
    </row>
    <row r="5" spans="1:4" x14ac:dyDescent="0.5">
      <c r="A5" s="1">
        <v>0.15</v>
      </c>
      <c r="B5">
        <v>0.79686000000000001</v>
      </c>
      <c r="D5" s="1"/>
    </row>
    <row r="6" spans="1:4" x14ac:dyDescent="0.5">
      <c r="A6" s="1">
        <v>0.20100000000000001</v>
      </c>
      <c r="B6">
        <v>0.79401999999999995</v>
      </c>
      <c r="D6" s="1"/>
    </row>
    <row r="7" spans="1:4" x14ac:dyDescent="0.5">
      <c r="A7" s="1">
        <v>0.245</v>
      </c>
      <c r="B7">
        <v>0.79176000000000002</v>
      </c>
      <c r="D7" s="1"/>
    </row>
    <row r="8" spans="1:4" x14ac:dyDescent="0.5">
      <c r="A8" s="1">
        <v>0.30499999999999999</v>
      </c>
      <c r="B8">
        <v>0.78869999999999996</v>
      </c>
      <c r="D8" s="1"/>
    </row>
    <row r="9" spans="1:4" x14ac:dyDescent="0.5">
      <c r="A9" s="1">
        <v>0.34899999999999998</v>
      </c>
      <c r="B9">
        <v>0.78668000000000005</v>
      </c>
      <c r="D9" s="1"/>
    </row>
    <row r="10" spans="1:4" x14ac:dyDescent="0.5">
      <c r="A10" s="1">
        <v>0.39100000000000001</v>
      </c>
      <c r="B10">
        <v>0.78474999999999995</v>
      </c>
      <c r="D10" s="1"/>
    </row>
    <row r="11" spans="1:4" x14ac:dyDescent="0.5">
      <c r="A11" s="1">
        <v>0.44800000000000001</v>
      </c>
      <c r="B11">
        <v>0.78236000000000006</v>
      </c>
      <c r="D11" s="1"/>
    </row>
    <row r="12" spans="1:4" x14ac:dyDescent="0.5">
      <c r="A12" s="1">
        <v>0.50800000000000001</v>
      </c>
      <c r="B12">
        <v>0.77991999999999995</v>
      </c>
      <c r="D12" s="1"/>
    </row>
    <row r="13" spans="1:4" x14ac:dyDescent="0.5">
      <c r="A13" s="1">
        <v>0.56699999999999995</v>
      </c>
      <c r="B13">
        <v>0.77773999999999999</v>
      </c>
      <c r="D13" s="1"/>
    </row>
    <row r="14" spans="1:4" x14ac:dyDescent="0.5">
      <c r="A14" s="1">
        <v>0.59599999999999997</v>
      </c>
      <c r="B14">
        <v>0.77671999999999997</v>
      </c>
      <c r="D14" s="1"/>
    </row>
    <row r="15" spans="1:4" x14ac:dyDescent="0.5">
      <c r="A15" s="1">
        <v>0.66100000000000003</v>
      </c>
      <c r="B15">
        <v>0.77446000000000004</v>
      </c>
      <c r="D15" s="1"/>
    </row>
    <row r="16" spans="1:4" x14ac:dyDescent="0.5">
      <c r="A16" s="1">
        <v>0.69</v>
      </c>
      <c r="B16">
        <v>0.77353000000000005</v>
      </c>
      <c r="D16" s="1"/>
    </row>
    <row r="17" spans="1:4" x14ac:dyDescent="0.5">
      <c r="A17" s="1">
        <v>0.76</v>
      </c>
      <c r="B17">
        <v>0.77134000000000003</v>
      </c>
      <c r="D17" s="1"/>
    </row>
    <row r="18" spans="1:4" x14ac:dyDescent="0.5">
      <c r="A18" s="1">
        <v>0.80400000000000005</v>
      </c>
      <c r="B18">
        <v>0.76997000000000004</v>
      </c>
      <c r="D18" s="1"/>
    </row>
    <row r="19" spans="1:4" x14ac:dyDescent="0.5">
      <c r="A19" s="1">
        <v>0.873</v>
      </c>
      <c r="B19">
        <v>0.76788000000000001</v>
      </c>
      <c r="D19" s="1"/>
    </row>
    <row r="20" spans="1:4" x14ac:dyDescent="0.5">
      <c r="A20" s="1">
        <v>0.91200000000000003</v>
      </c>
      <c r="B20">
        <v>0.76678999999999997</v>
      </c>
      <c r="D20" s="1"/>
    </row>
    <row r="21" spans="1:4" x14ac:dyDescent="0.5">
      <c r="A21" s="1">
        <v>0.95299999999999996</v>
      </c>
      <c r="B21">
        <v>0.76556000000000002</v>
      </c>
      <c r="D21" s="1"/>
    </row>
    <row r="22" spans="1:4" x14ac:dyDescent="0.5">
      <c r="A22" s="1">
        <v>1</v>
      </c>
      <c r="B22">
        <v>0.76427999999999996</v>
      </c>
      <c r="D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A34C-E777-472A-9FD4-B6FBBAA125BE}">
  <dimension ref="A1:B22"/>
  <sheetViews>
    <sheetView workbookViewId="0">
      <selection sqref="A1:B1"/>
    </sheetView>
  </sheetViews>
  <sheetFormatPr baseColWidth="10" defaultRowHeight="15.75" x14ac:dyDescent="0.5"/>
  <sheetData>
    <row r="1" spans="1:2" x14ac:dyDescent="0.5">
      <c r="A1" t="s">
        <v>9</v>
      </c>
      <c r="B1" t="s">
        <v>28</v>
      </c>
    </row>
    <row r="2" spans="1:2" x14ac:dyDescent="0.5">
      <c r="A2" s="4">
        <v>0</v>
      </c>
      <c r="B2">
        <v>0</v>
      </c>
    </row>
    <row r="3" spans="1:2" x14ac:dyDescent="0.5">
      <c r="A3" s="4">
        <v>5.0900000000000001E-2</v>
      </c>
      <c r="B3">
        <v>-0.08</v>
      </c>
    </row>
    <row r="4" spans="1:2" x14ac:dyDescent="0.5">
      <c r="A4" s="4">
        <v>9.9000000000000005E-2</v>
      </c>
      <c r="B4">
        <v>-0.11600000000000001</v>
      </c>
    </row>
    <row r="5" spans="1:2" x14ac:dyDescent="0.5">
      <c r="A5" s="4">
        <v>0.1492</v>
      </c>
      <c r="B5">
        <v>-0.14199999999999999</v>
      </c>
    </row>
    <row r="6" spans="1:2" x14ac:dyDescent="0.5">
      <c r="A6" s="4">
        <v>0.20130000000000001</v>
      </c>
      <c r="B6">
        <v>-0.17199999999999999</v>
      </c>
    </row>
    <row r="7" spans="1:2" x14ac:dyDescent="0.5">
      <c r="A7" s="4">
        <v>0.25140000000000001</v>
      </c>
      <c r="B7">
        <v>-0.20699999999999999</v>
      </c>
    </row>
    <row r="8" spans="1:2" x14ac:dyDescent="0.5">
      <c r="A8" s="4">
        <v>0.30049999999999999</v>
      </c>
      <c r="B8">
        <v>-0.218</v>
      </c>
    </row>
    <row r="9" spans="1:2" x14ac:dyDescent="0.5">
      <c r="A9" s="4">
        <v>0.35010000000000002</v>
      </c>
      <c r="B9">
        <v>-0.22600000000000001</v>
      </c>
    </row>
    <row r="10" spans="1:2" x14ac:dyDescent="0.5">
      <c r="A10" s="4">
        <v>0.40210000000000001</v>
      </c>
      <c r="B10">
        <v>-0.23899999999999999</v>
      </c>
    </row>
    <row r="11" spans="1:2" x14ac:dyDescent="0.5">
      <c r="A11" s="4">
        <v>0.45350000000000001</v>
      </c>
      <c r="B11">
        <v>-0.24</v>
      </c>
    </row>
    <row r="12" spans="1:2" x14ac:dyDescent="0.5">
      <c r="A12" s="4">
        <v>0.50329999999999997</v>
      </c>
      <c r="B12">
        <v>-0.247</v>
      </c>
    </row>
    <row r="13" spans="1:2" x14ac:dyDescent="0.5">
      <c r="A13" s="4">
        <v>0.55189999999999995</v>
      </c>
      <c r="B13">
        <v>-0.245</v>
      </c>
    </row>
    <row r="14" spans="1:2" x14ac:dyDescent="0.5">
      <c r="A14" s="4">
        <v>0.60409999999999997</v>
      </c>
      <c r="B14">
        <v>-0.23100000000000001</v>
      </c>
    </row>
    <row r="15" spans="1:2" x14ac:dyDescent="0.5">
      <c r="A15" s="4">
        <v>0.65590000000000004</v>
      </c>
      <c r="B15">
        <v>-0.218</v>
      </c>
    </row>
    <row r="16" spans="1:2" x14ac:dyDescent="0.5">
      <c r="A16" s="4">
        <v>0.70509999999999995</v>
      </c>
      <c r="B16">
        <v>-0.20399999999999999</v>
      </c>
    </row>
    <row r="17" spans="1:2" x14ac:dyDescent="0.5">
      <c r="A17" s="4">
        <v>0.75570000000000004</v>
      </c>
      <c r="B17">
        <v>-0.193</v>
      </c>
    </row>
    <row r="18" spans="1:2" x14ac:dyDescent="0.5">
      <c r="A18" s="4">
        <v>0.80059999999999998</v>
      </c>
      <c r="B18">
        <v>-0.16900000000000001</v>
      </c>
    </row>
    <row r="19" spans="1:2" x14ac:dyDescent="0.5">
      <c r="A19" s="4">
        <v>0.8518</v>
      </c>
      <c r="B19">
        <v>-0.13700000000000001</v>
      </c>
    </row>
    <row r="20" spans="1:2" x14ac:dyDescent="0.5">
      <c r="A20" s="4">
        <v>0.90090000000000003</v>
      </c>
      <c r="B20" s="1">
        <v>-0.08</v>
      </c>
    </row>
    <row r="21" spans="1:2" x14ac:dyDescent="0.5">
      <c r="A21" s="4">
        <v>0.95350000000000001</v>
      </c>
      <c r="B21">
        <v>-5.8000000000000003E-2</v>
      </c>
    </row>
    <row r="22" spans="1:2" x14ac:dyDescent="0.5">
      <c r="A22" s="4">
        <v>1</v>
      </c>
      <c r="B2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1F6E-FB5E-4E86-BFA5-CDCA4B95979E}">
  <dimension ref="A1:B25"/>
  <sheetViews>
    <sheetView workbookViewId="0">
      <selection activeCell="F5" sqref="F5"/>
    </sheetView>
  </sheetViews>
  <sheetFormatPr baseColWidth="10" defaultRowHeight="15.75" x14ac:dyDescent="0.5"/>
  <sheetData>
    <row r="1" spans="1:2" x14ac:dyDescent="0.5">
      <c r="A1" t="s">
        <v>9</v>
      </c>
      <c r="B1" t="s">
        <v>28</v>
      </c>
    </row>
    <row r="2" spans="1:2" x14ac:dyDescent="0.5">
      <c r="A2" s="4">
        <v>0</v>
      </c>
      <c r="B2" s="4">
        <v>0</v>
      </c>
    </row>
    <row r="3" spans="1:2" x14ac:dyDescent="0.5">
      <c r="A3" s="4">
        <v>0.1222</v>
      </c>
      <c r="B3" s="4">
        <v>-0.126</v>
      </c>
    </row>
    <row r="4" spans="1:2" x14ac:dyDescent="0.5">
      <c r="A4" s="4">
        <v>0.16250000000000001</v>
      </c>
      <c r="B4" s="4">
        <v>-0.15509999999999999</v>
      </c>
    </row>
    <row r="5" spans="1:2" x14ac:dyDescent="0.5">
      <c r="A5" s="4">
        <v>0.18690000000000001</v>
      </c>
      <c r="B5" s="4">
        <v>-0.1709</v>
      </c>
    </row>
    <row r="6" spans="1:2" x14ac:dyDescent="0.5">
      <c r="A6" s="4">
        <v>0.21560000000000001</v>
      </c>
      <c r="B6" s="4">
        <v>-0.186</v>
      </c>
    </row>
    <row r="7" spans="1:2" x14ac:dyDescent="0.5">
      <c r="A7" s="4">
        <v>0.2387</v>
      </c>
      <c r="B7" s="4">
        <v>-0.19700000000000001</v>
      </c>
    </row>
    <row r="8" spans="1:2" x14ac:dyDescent="0.5">
      <c r="A8" s="4">
        <v>0.29809999999999998</v>
      </c>
      <c r="B8" s="4">
        <v>-0.21729999999999999</v>
      </c>
    </row>
    <row r="9" spans="1:2" x14ac:dyDescent="0.5">
      <c r="A9" s="4">
        <v>0.36680000000000001</v>
      </c>
      <c r="B9" s="4">
        <v>-0.2301</v>
      </c>
    </row>
    <row r="10" spans="1:2" x14ac:dyDescent="0.5">
      <c r="A10" s="4">
        <v>0.4239</v>
      </c>
      <c r="B10" s="4">
        <v>-0.2356</v>
      </c>
    </row>
    <row r="11" spans="1:2" x14ac:dyDescent="0.5">
      <c r="A11" s="4">
        <v>0.46899999999999997</v>
      </c>
      <c r="B11" s="4">
        <v>-0.2392</v>
      </c>
    </row>
    <row r="12" spans="1:2" x14ac:dyDescent="0.5">
      <c r="A12" s="4">
        <v>0.47710000000000002</v>
      </c>
      <c r="B12" s="4">
        <v>-0.2364</v>
      </c>
    </row>
    <row r="13" spans="1:2" x14ac:dyDescent="0.5">
      <c r="A13" s="4">
        <v>0.50719999999999998</v>
      </c>
      <c r="B13" s="4">
        <v>-0.23719999999999999</v>
      </c>
    </row>
    <row r="14" spans="1:2" x14ac:dyDescent="0.5">
      <c r="A14" s="4">
        <v>0.5161</v>
      </c>
      <c r="B14" s="4">
        <v>-0.23469999999999999</v>
      </c>
    </row>
    <row r="15" spans="1:2" x14ac:dyDescent="0.5">
      <c r="A15" s="4">
        <v>0.56220000000000003</v>
      </c>
      <c r="B15" s="4">
        <v>-0.23139999999999999</v>
      </c>
    </row>
    <row r="16" spans="1:2" x14ac:dyDescent="0.5">
      <c r="A16" s="4">
        <v>0.62780000000000002</v>
      </c>
      <c r="B16" s="4">
        <v>-0.21920000000000001</v>
      </c>
    </row>
    <row r="17" spans="1:2" x14ac:dyDescent="0.5">
      <c r="A17" s="4">
        <v>0.69879999999999998</v>
      </c>
      <c r="B17" s="4">
        <v>-0.20039999999999999</v>
      </c>
    </row>
    <row r="18" spans="1:2" x14ac:dyDescent="0.5">
      <c r="A18" s="4">
        <v>0.7661</v>
      </c>
      <c r="B18" s="4">
        <v>-0.17710000000000001</v>
      </c>
    </row>
    <row r="19" spans="1:2" x14ac:dyDescent="0.5">
      <c r="A19" s="4">
        <v>0.80910000000000004</v>
      </c>
      <c r="B19" s="4">
        <v>-0.15770000000000001</v>
      </c>
    </row>
    <row r="20" spans="1:2" x14ac:dyDescent="0.5">
      <c r="A20" s="4">
        <v>0.8518</v>
      </c>
      <c r="B20" s="4">
        <v>-0.1338</v>
      </c>
    </row>
    <row r="21" spans="1:2" x14ac:dyDescent="0.5">
      <c r="A21" s="4">
        <v>0.89970000000000006</v>
      </c>
      <c r="B21" s="4">
        <v>-0.1007</v>
      </c>
    </row>
    <row r="22" spans="1:2" x14ac:dyDescent="0.5">
      <c r="A22" s="4">
        <v>0.94899999999999995</v>
      </c>
      <c r="B22" s="4">
        <v>-5.5599999999999997E-2</v>
      </c>
    </row>
    <row r="23" spans="1:2" x14ac:dyDescent="0.5">
      <c r="A23" s="4">
        <v>0.9728</v>
      </c>
      <c r="B23" s="4">
        <v>-0.03</v>
      </c>
    </row>
    <row r="24" spans="1:2" x14ac:dyDescent="0.5">
      <c r="A24" s="4">
        <v>0.98770000000000002</v>
      </c>
      <c r="B24" s="4">
        <v>-1.3100000000000001E-2</v>
      </c>
    </row>
    <row r="25" spans="1:2" x14ac:dyDescent="0.5">
      <c r="A25" s="4">
        <v>1</v>
      </c>
      <c r="B25" s="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5275-F74C-4AB7-8E2C-666CD65F29A0}">
  <dimension ref="A1:B12"/>
  <sheetViews>
    <sheetView workbookViewId="0">
      <selection activeCell="B13" sqref="B13"/>
    </sheetView>
  </sheetViews>
  <sheetFormatPr baseColWidth="10" defaultRowHeight="15.75" x14ac:dyDescent="0.5"/>
  <sheetData>
    <row r="1" spans="1:2" x14ac:dyDescent="0.5">
      <c r="A1" t="s">
        <v>9</v>
      </c>
      <c r="B1" t="s">
        <v>28</v>
      </c>
    </row>
    <row r="2" spans="1:2" x14ac:dyDescent="0.5">
      <c r="A2">
        <v>0</v>
      </c>
      <c r="B2">
        <v>0</v>
      </c>
    </row>
    <row r="3" spans="1:2" x14ac:dyDescent="0.5">
      <c r="A3">
        <v>0.10440000000000005</v>
      </c>
      <c r="B3">
        <v>-0.115</v>
      </c>
    </row>
    <row r="4" spans="1:2" x14ac:dyDescent="0.5">
      <c r="A4">
        <v>0.18340000000000001</v>
      </c>
      <c r="B4">
        <v>-0.16300000000000001</v>
      </c>
    </row>
    <row r="5" spans="1:2" x14ac:dyDescent="0.5">
      <c r="A5">
        <v>0.28720000000000001</v>
      </c>
      <c r="B5">
        <v>-0.21299999999999999</v>
      </c>
    </row>
    <row r="6" spans="1:2" x14ac:dyDescent="0.5">
      <c r="A6">
        <v>0.3992</v>
      </c>
      <c r="B6">
        <v>-0.22700000000000001</v>
      </c>
    </row>
    <row r="7" spans="1:2" x14ac:dyDescent="0.5">
      <c r="A7">
        <v>0.48640000000000005</v>
      </c>
      <c r="B7">
        <v>-0.23200000000000001</v>
      </c>
    </row>
    <row r="8" spans="1:2" x14ac:dyDescent="0.5">
      <c r="A8">
        <v>0.60050000000000003</v>
      </c>
      <c r="B8">
        <v>-0.21299999999999999</v>
      </c>
    </row>
    <row r="9" spans="1:2" x14ac:dyDescent="0.5">
      <c r="A9">
        <v>0.6895</v>
      </c>
      <c r="B9">
        <v>-0.191</v>
      </c>
    </row>
    <row r="10" spans="1:2" x14ac:dyDescent="0.5">
      <c r="A10">
        <v>0.79590000000000005</v>
      </c>
      <c r="B10">
        <v>-0.14499999999999999</v>
      </c>
    </row>
    <row r="11" spans="1:2" x14ac:dyDescent="0.5">
      <c r="A11">
        <v>0.89349999999999996</v>
      </c>
      <c r="B11">
        <v>-8.8999999999999996E-2</v>
      </c>
    </row>
    <row r="12" spans="1:2" x14ac:dyDescent="0.5">
      <c r="A12">
        <v>1</v>
      </c>
      <c r="B1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A801-0B28-5E4A-B72D-2F7D80204E53}">
  <dimension ref="A1:C14"/>
  <sheetViews>
    <sheetView workbookViewId="0">
      <selection activeCell="D5" sqref="D5"/>
    </sheetView>
  </sheetViews>
  <sheetFormatPr baseColWidth="10" defaultRowHeight="15.75" x14ac:dyDescent="0.5"/>
  <sheetData>
    <row r="1" spans="1:3" x14ac:dyDescent="0.5">
      <c r="A1" t="s">
        <v>9</v>
      </c>
      <c r="B1" s="2" t="s">
        <v>30</v>
      </c>
      <c r="C1" s="2"/>
    </row>
    <row r="2" spans="1:3" x14ac:dyDescent="0.5">
      <c r="A2" s="1">
        <v>0</v>
      </c>
      <c r="B2">
        <v>2.5880000000000001</v>
      </c>
    </row>
    <row r="3" spans="1:3" x14ac:dyDescent="0.5">
      <c r="A3" s="1">
        <v>4.3999999999999997E-2</v>
      </c>
      <c r="B3">
        <v>2.3010000000000002</v>
      </c>
    </row>
    <row r="4" spans="1:3" x14ac:dyDescent="0.5">
      <c r="A4" s="1">
        <v>9.7000000000000003E-2</v>
      </c>
      <c r="B4">
        <v>1.9810000000000001</v>
      </c>
    </row>
    <row r="5" spans="1:3" x14ac:dyDescent="0.5">
      <c r="A5" s="1">
        <v>0.19500000000000001</v>
      </c>
      <c r="B5">
        <v>1.5640000000000001</v>
      </c>
    </row>
    <row r="6" spans="1:3" x14ac:dyDescent="0.5">
      <c r="A6" s="1">
        <v>0.30299999999999999</v>
      </c>
      <c r="B6">
        <v>1.252</v>
      </c>
    </row>
    <row r="7" spans="1:3" x14ac:dyDescent="0.5">
      <c r="A7" s="1">
        <v>0.41399999999999998</v>
      </c>
      <c r="B7">
        <v>1.038</v>
      </c>
    </row>
    <row r="8" spans="1:3" x14ac:dyDescent="0.5">
      <c r="A8" s="1">
        <v>0.52300000000000002</v>
      </c>
      <c r="B8">
        <v>0.89100000000000001</v>
      </c>
    </row>
    <row r="9" spans="1:3" x14ac:dyDescent="0.5">
      <c r="A9" s="1">
        <v>0.60199999999999998</v>
      </c>
      <c r="B9">
        <v>0.81299999999999994</v>
      </c>
    </row>
    <row r="10" spans="1:3" x14ac:dyDescent="0.5">
      <c r="A10" s="1">
        <v>0.70599999999999996</v>
      </c>
      <c r="B10">
        <v>0.73699999999999999</v>
      </c>
    </row>
    <row r="11" spans="1:3" x14ac:dyDescent="0.5">
      <c r="A11" s="1">
        <v>0.81100000000000005</v>
      </c>
      <c r="B11">
        <v>0.68100000000000005</v>
      </c>
    </row>
    <row r="12" spans="1:3" x14ac:dyDescent="0.5">
      <c r="A12" s="1">
        <v>0.9</v>
      </c>
      <c r="B12">
        <v>0.64600000000000002</v>
      </c>
    </row>
    <row r="13" spans="1:3" x14ac:dyDescent="0.5">
      <c r="A13" s="1">
        <v>0.94499999999999995</v>
      </c>
      <c r="B13">
        <v>0.63300000000000001</v>
      </c>
    </row>
    <row r="14" spans="1:3" x14ac:dyDescent="0.5">
      <c r="A14" s="1">
        <v>1</v>
      </c>
      <c r="B14">
        <v>0.624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7345-C27F-4226-9FA1-904750B419B4}">
  <dimension ref="A1:B240"/>
  <sheetViews>
    <sheetView workbookViewId="0">
      <selection activeCell="B13" sqref="B13"/>
    </sheetView>
  </sheetViews>
  <sheetFormatPr baseColWidth="10" defaultRowHeight="15.75" x14ac:dyDescent="0.5"/>
  <sheetData>
    <row r="1" spans="1:2" x14ac:dyDescent="0.5">
      <c r="A1" t="s">
        <v>18</v>
      </c>
      <c r="B1" s="2" t="s">
        <v>17</v>
      </c>
    </row>
    <row r="2" spans="1:2" x14ac:dyDescent="0.5">
      <c r="A2">
        <v>243.15</v>
      </c>
      <c r="B2">
        <v>1.7336</v>
      </c>
    </row>
    <row r="3" spans="1:2" x14ac:dyDescent="0.5">
      <c r="A3">
        <v>253.15</v>
      </c>
      <c r="B3">
        <v>1.3786</v>
      </c>
    </row>
    <row r="4" spans="1:2" x14ac:dyDescent="0.5">
      <c r="A4">
        <v>263.14999999999998</v>
      </c>
      <c r="B4">
        <v>1.1255999999999999</v>
      </c>
    </row>
    <row r="5" spans="1:2" x14ac:dyDescent="0.5">
      <c r="A5">
        <v>273.14999999999998</v>
      </c>
      <c r="B5" s="4">
        <v>0.94199999999999995</v>
      </c>
    </row>
    <row r="6" spans="1:2" x14ac:dyDescent="0.5">
      <c r="A6">
        <v>283.14999999999998</v>
      </c>
      <c r="B6">
        <v>0.80320000000000003</v>
      </c>
    </row>
    <row r="7" spans="1:2" x14ac:dyDescent="0.5">
      <c r="A7">
        <v>293.14999999999998</v>
      </c>
      <c r="B7">
        <v>0.69059999999999999</v>
      </c>
    </row>
    <row r="8" spans="1:2" x14ac:dyDescent="0.5">
      <c r="A8">
        <v>303.14999999999998</v>
      </c>
      <c r="B8" s="4">
        <v>0.60799999999999998</v>
      </c>
    </row>
    <row r="9" spans="1:2" x14ac:dyDescent="0.5">
      <c r="A9">
        <v>313.14999999999998</v>
      </c>
      <c r="B9">
        <v>0.53879999999999995</v>
      </c>
    </row>
    <row r="10" spans="1:2" x14ac:dyDescent="0.5">
      <c r="A10">
        <v>323.14999999999998</v>
      </c>
      <c r="B10">
        <v>0.48049999999999998</v>
      </c>
    </row>
    <row r="11" spans="1:2" x14ac:dyDescent="0.5">
      <c r="A11">
        <v>333.15</v>
      </c>
      <c r="B11">
        <v>0.43259999999999998</v>
      </c>
    </row>
    <row r="12" spans="1:2" x14ac:dyDescent="0.5">
      <c r="A12">
        <v>343.15</v>
      </c>
      <c r="B12">
        <v>0.39140000000000003</v>
      </c>
    </row>
    <row r="13" spans="1:2" x14ac:dyDescent="0.5">
      <c r="A13">
        <v>353.15</v>
      </c>
      <c r="B13">
        <v>0.3538</v>
      </c>
    </row>
    <row r="14" spans="1:2" x14ac:dyDescent="0.5">
      <c r="A14">
        <v>363.15</v>
      </c>
      <c r="B14">
        <v>0.3236</v>
      </c>
    </row>
    <row r="15" spans="1:2" x14ac:dyDescent="0.5">
      <c r="A15">
        <v>373.15</v>
      </c>
      <c r="B15">
        <v>0.2954</v>
      </c>
    </row>
    <row r="16" spans="1:2" x14ac:dyDescent="0.5">
      <c r="B16" s="4"/>
    </row>
    <row r="17" spans="2:2" x14ac:dyDescent="0.5">
      <c r="B17" s="4"/>
    </row>
    <row r="18" spans="2:2" x14ac:dyDescent="0.5">
      <c r="B18" s="4"/>
    </row>
    <row r="19" spans="2:2" x14ac:dyDescent="0.5">
      <c r="B19" s="4"/>
    </row>
    <row r="20" spans="2:2" x14ac:dyDescent="0.5">
      <c r="B20" s="4"/>
    </row>
    <row r="21" spans="2:2" x14ac:dyDescent="0.5">
      <c r="B21" s="4"/>
    </row>
    <row r="22" spans="2:2" x14ac:dyDescent="0.5">
      <c r="B22" s="4"/>
    </row>
    <row r="23" spans="2:2" x14ac:dyDescent="0.5">
      <c r="B23" s="4"/>
    </row>
    <row r="24" spans="2:2" x14ac:dyDescent="0.5">
      <c r="B24" s="4"/>
    </row>
    <row r="25" spans="2:2" x14ac:dyDescent="0.5">
      <c r="B25" s="4"/>
    </row>
    <row r="26" spans="2:2" x14ac:dyDescent="0.5">
      <c r="B26" s="4"/>
    </row>
    <row r="27" spans="2:2" x14ac:dyDescent="0.5">
      <c r="B27" s="4"/>
    </row>
    <row r="28" spans="2:2" x14ac:dyDescent="0.5">
      <c r="B28" s="4"/>
    </row>
    <row r="29" spans="2:2" x14ac:dyDescent="0.5">
      <c r="B29" s="4"/>
    </row>
    <row r="30" spans="2:2" x14ac:dyDescent="0.5">
      <c r="B30" s="4"/>
    </row>
    <row r="31" spans="2:2" x14ac:dyDescent="0.5">
      <c r="B31" s="4"/>
    </row>
    <row r="32" spans="2:2" x14ac:dyDescent="0.5">
      <c r="B32" s="4"/>
    </row>
    <row r="33" spans="2:2" x14ac:dyDescent="0.5">
      <c r="B33" s="4"/>
    </row>
    <row r="34" spans="2:2" x14ac:dyDescent="0.5">
      <c r="B34" s="4"/>
    </row>
    <row r="35" spans="2:2" x14ac:dyDescent="0.5">
      <c r="B35" s="4"/>
    </row>
    <row r="36" spans="2:2" x14ac:dyDescent="0.5">
      <c r="B36" s="4"/>
    </row>
    <row r="37" spans="2:2" x14ac:dyDescent="0.5">
      <c r="B37" s="4"/>
    </row>
    <row r="38" spans="2:2" x14ac:dyDescent="0.5">
      <c r="B38" s="4"/>
    </row>
    <row r="39" spans="2:2" x14ac:dyDescent="0.5">
      <c r="B39" s="4"/>
    </row>
    <row r="40" spans="2:2" x14ac:dyDescent="0.5">
      <c r="B40" s="4"/>
    </row>
    <row r="41" spans="2:2" x14ac:dyDescent="0.5">
      <c r="B41" s="4"/>
    </row>
    <row r="42" spans="2:2" x14ac:dyDescent="0.5">
      <c r="B42" s="4"/>
    </row>
    <row r="43" spans="2:2" x14ac:dyDescent="0.5">
      <c r="B43" s="4"/>
    </row>
    <row r="44" spans="2:2" x14ac:dyDescent="0.5">
      <c r="B44" s="4"/>
    </row>
    <row r="45" spans="2:2" x14ac:dyDescent="0.5">
      <c r="B45" s="4"/>
    </row>
    <row r="46" spans="2:2" x14ac:dyDescent="0.5">
      <c r="B46" s="4"/>
    </row>
    <row r="47" spans="2:2" x14ac:dyDescent="0.5">
      <c r="B47" s="4"/>
    </row>
    <row r="48" spans="2:2" x14ac:dyDescent="0.5">
      <c r="B48" s="4"/>
    </row>
    <row r="49" spans="2:2" x14ac:dyDescent="0.5">
      <c r="B49" s="4"/>
    </row>
    <row r="50" spans="2:2" x14ac:dyDescent="0.5">
      <c r="B50" s="4"/>
    </row>
    <row r="51" spans="2:2" x14ac:dyDescent="0.5">
      <c r="B51" s="4"/>
    </row>
    <row r="52" spans="2:2" x14ac:dyDescent="0.5">
      <c r="B52" s="4"/>
    </row>
    <row r="53" spans="2:2" x14ac:dyDescent="0.5">
      <c r="B53" s="4"/>
    </row>
    <row r="54" spans="2:2" x14ac:dyDescent="0.5">
      <c r="B54" s="4"/>
    </row>
    <row r="55" spans="2:2" x14ac:dyDescent="0.5">
      <c r="B55" s="4"/>
    </row>
    <row r="56" spans="2:2" x14ac:dyDescent="0.5">
      <c r="B56" s="4"/>
    </row>
    <row r="57" spans="2:2" x14ac:dyDescent="0.5">
      <c r="B57" s="4"/>
    </row>
    <row r="58" spans="2:2" x14ac:dyDescent="0.5">
      <c r="B58" s="4"/>
    </row>
    <row r="59" spans="2:2" x14ac:dyDescent="0.5">
      <c r="B59" s="4"/>
    </row>
    <row r="60" spans="2:2" x14ac:dyDescent="0.5">
      <c r="B60" s="4"/>
    </row>
    <row r="61" spans="2:2" x14ac:dyDescent="0.5">
      <c r="B61" s="4"/>
    </row>
    <row r="62" spans="2:2" x14ac:dyDescent="0.5">
      <c r="B62" s="4"/>
    </row>
    <row r="63" spans="2:2" x14ac:dyDescent="0.5">
      <c r="B63" s="4"/>
    </row>
    <row r="64" spans="2:2" x14ac:dyDescent="0.5">
      <c r="B64" s="4"/>
    </row>
    <row r="65" spans="2:2" x14ac:dyDescent="0.5">
      <c r="B65" s="4"/>
    </row>
    <row r="66" spans="2:2" x14ac:dyDescent="0.5">
      <c r="B66" s="4"/>
    </row>
    <row r="67" spans="2:2" x14ac:dyDescent="0.5">
      <c r="B67" s="4"/>
    </row>
    <row r="68" spans="2:2" x14ac:dyDescent="0.5">
      <c r="B68" s="4"/>
    </row>
    <row r="69" spans="2:2" x14ac:dyDescent="0.5">
      <c r="B69" s="4"/>
    </row>
    <row r="70" spans="2:2" x14ac:dyDescent="0.5">
      <c r="B70" s="4"/>
    </row>
    <row r="71" spans="2:2" x14ac:dyDescent="0.5">
      <c r="B71" s="4"/>
    </row>
    <row r="72" spans="2:2" x14ac:dyDescent="0.5">
      <c r="B72" s="4"/>
    </row>
    <row r="73" spans="2:2" x14ac:dyDescent="0.5">
      <c r="B73" s="4"/>
    </row>
    <row r="74" spans="2:2" x14ac:dyDescent="0.5">
      <c r="B74" s="4"/>
    </row>
    <row r="75" spans="2:2" x14ac:dyDescent="0.5">
      <c r="B75" s="4"/>
    </row>
    <row r="76" spans="2:2" x14ac:dyDescent="0.5">
      <c r="B76" s="4"/>
    </row>
    <row r="77" spans="2:2" x14ac:dyDescent="0.5">
      <c r="B77" s="4"/>
    </row>
    <row r="78" spans="2:2" x14ac:dyDescent="0.5">
      <c r="B78" s="4"/>
    </row>
    <row r="79" spans="2:2" x14ac:dyDescent="0.5">
      <c r="B79" s="4"/>
    </row>
    <row r="80" spans="2:2" x14ac:dyDescent="0.5">
      <c r="B80" s="4"/>
    </row>
    <row r="81" spans="2:2" x14ac:dyDescent="0.5">
      <c r="B81" s="4"/>
    </row>
    <row r="82" spans="2:2" x14ac:dyDescent="0.5">
      <c r="B82" s="4"/>
    </row>
    <row r="83" spans="2:2" x14ac:dyDescent="0.5">
      <c r="B83" s="4"/>
    </row>
    <row r="84" spans="2:2" x14ac:dyDescent="0.5">
      <c r="B84" s="4"/>
    </row>
    <row r="85" spans="2:2" x14ac:dyDescent="0.5">
      <c r="B85" s="4"/>
    </row>
    <row r="86" spans="2:2" x14ac:dyDescent="0.5">
      <c r="B86" s="4"/>
    </row>
    <row r="87" spans="2:2" x14ac:dyDescent="0.5">
      <c r="B87" s="4"/>
    </row>
    <row r="88" spans="2:2" x14ac:dyDescent="0.5">
      <c r="B88" s="4"/>
    </row>
    <row r="89" spans="2:2" x14ac:dyDescent="0.5">
      <c r="B89" s="4"/>
    </row>
    <row r="90" spans="2:2" x14ac:dyDescent="0.5">
      <c r="B90" s="4"/>
    </row>
    <row r="91" spans="2:2" x14ac:dyDescent="0.5">
      <c r="B91" s="4"/>
    </row>
    <row r="92" spans="2:2" x14ac:dyDescent="0.5">
      <c r="B92" s="4"/>
    </row>
    <row r="93" spans="2:2" x14ac:dyDescent="0.5">
      <c r="B93" s="4"/>
    </row>
    <row r="94" spans="2:2" x14ac:dyDescent="0.5">
      <c r="B94" s="4"/>
    </row>
    <row r="95" spans="2:2" x14ac:dyDescent="0.5">
      <c r="B95" s="4"/>
    </row>
    <row r="96" spans="2:2" x14ac:dyDescent="0.5">
      <c r="B96" s="4"/>
    </row>
    <row r="97" spans="2:2" x14ac:dyDescent="0.5">
      <c r="B97" s="7"/>
    </row>
    <row r="98" spans="2:2" x14ac:dyDescent="0.5">
      <c r="B98" s="7"/>
    </row>
    <row r="99" spans="2:2" x14ac:dyDescent="0.5">
      <c r="B99" s="7"/>
    </row>
    <row r="100" spans="2:2" x14ac:dyDescent="0.5">
      <c r="B100" s="7"/>
    </row>
    <row r="101" spans="2:2" x14ac:dyDescent="0.5">
      <c r="B101" s="7"/>
    </row>
    <row r="102" spans="2:2" x14ac:dyDescent="0.5">
      <c r="B102" s="7"/>
    </row>
    <row r="103" spans="2:2" x14ac:dyDescent="0.5">
      <c r="B103" s="7"/>
    </row>
    <row r="104" spans="2:2" x14ac:dyDescent="0.5">
      <c r="B104" s="7"/>
    </row>
    <row r="105" spans="2:2" x14ac:dyDescent="0.5">
      <c r="B105" s="7"/>
    </row>
    <row r="106" spans="2:2" x14ac:dyDescent="0.5">
      <c r="B106" s="7"/>
    </row>
    <row r="107" spans="2:2" x14ac:dyDescent="0.5">
      <c r="B107" s="7"/>
    </row>
    <row r="108" spans="2:2" x14ac:dyDescent="0.5">
      <c r="B108" s="7"/>
    </row>
    <row r="109" spans="2:2" x14ac:dyDescent="0.5">
      <c r="B109" s="7"/>
    </row>
    <row r="110" spans="2:2" x14ac:dyDescent="0.5">
      <c r="B110" s="7"/>
    </row>
    <row r="111" spans="2:2" x14ac:dyDescent="0.5">
      <c r="B111" s="7"/>
    </row>
    <row r="112" spans="2:2" x14ac:dyDescent="0.5">
      <c r="B112" s="7"/>
    </row>
    <row r="113" spans="2:2" x14ac:dyDescent="0.5">
      <c r="B113" s="7"/>
    </row>
    <row r="114" spans="2:2" x14ac:dyDescent="0.5">
      <c r="B114" s="7"/>
    </row>
    <row r="115" spans="2:2" x14ac:dyDescent="0.5">
      <c r="B115" s="7"/>
    </row>
    <row r="116" spans="2:2" x14ac:dyDescent="0.5">
      <c r="B116" s="7"/>
    </row>
    <row r="117" spans="2:2" x14ac:dyDescent="0.5">
      <c r="B117" s="7"/>
    </row>
    <row r="118" spans="2:2" x14ac:dyDescent="0.5">
      <c r="B118" s="7"/>
    </row>
    <row r="119" spans="2:2" x14ac:dyDescent="0.5">
      <c r="B119" s="7"/>
    </row>
    <row r="120" spans="2:2" x14ac:dyDescent="0.5">
      <c r="B120" s="7"/>
    </row>
    <row r="121" spans="2:2" x14ac:dyDescent="0.5">
      <c r="B121" s="7"/>
    </row>
    <row r="122" spans="2:2" x14ac:dyDescent="0.5">
      <c r="B122" s="7"/>
    </row>
    <row r="123" spans="2:2" x14ac:dyDescent="0.5">
      <c r="B123" s="7"/>
    </row>
    <row r="124" spans="2:2" x14ac:dyDescent="0.5">
      <c r="B124" s="7"/>
    </row>
    <row r="125" spans="2:2" x14ac:dyDescent="0.5">
      <c r="B125" s="7"/>
    </row>
    <row r="126" spans="2:2" x14ac:dyDescent="0.5">
      <c r="B126" s="7"/>
    </row>
    <row r="127" spans="2:2" x14ac:dyDescent="0.5">
      <c r="B127" s="7"/>
    </row>
    <row r="128" spans="2:2" x14ac:dyDescent="0.5">
      <c r="B128" s="7"/>
    </row>
    <row r="129" spans="2:2" x14ac:dyDescent="0.5">
      <c r="B129" s="7"/>
    </row>
    <row r="130" spans="2:2" x14ac:dyDescent="0.5">
      <c r="B130" s="7"/>
    </row>
    <row r="131" spans="2:2" x14ac:dyDescent="0.5">
      <c r="B131" s="7"/>
    </row>
    <row r="132" spans="2:2" x14ac:dyDescent="0.5">
      <c r="B132" s="7"/>
    </row>
    <row r="133" spans="2:2" x14ac:dyDescent="0.5">
      <c r="B133" s="7"/>
    </row>
    <row r="134" spans="2:2" x14ac:dyDescent="0.5">
      <c r="B134" s="7"/>
    </row>
    <row r="135" spans="2:2" x14ac:dyDescent="0.5">
      <c r="B135" s="7"/>
    </row>
    <row r="136" spans="2:2" x14ac:dyDescent="0.5">
      <c r="B136" s="7"/>
    </row>
    <row r="137" spans="2:2" x14ac:dyDescent="0.5">
      <c r="B137" s="7"/>
    </row>
    <row r="138" spans="2:2" x14ac:dyDescent="0.5">
      <c r="B138" s="7"/>
    </row>
    <row r="139" spans="2:2" x14ac:dyDescent="0.5">
      <c r="B139" s="7"/>
    </row>
    <row r="140" spans="2:2" x14ac:dyDescent="0.5">
      <c r="B140" s="7"/>
    </row>
    <row r="141" spans="2:2" x14ac:dyDescent="0.5">
      <c r="B141" s="7"/>
    </row>
    <row r="142" spans="2:2" x14ac:dyDescent="0.5">
      <c r="B142" s="7"/>
    </row>
    <row r="143" spans="2:2" x14ac:dyDescent="0.5">
      <c r="B143" s="7"/>
    </row>
    <row r="144" spans="2:2" x14ac:dyDescent="0.5">
      <c r="B144" s="7"/>
    </row>
    <row r="145" spans="2:2" x14ac:dyDescent="0.5">
      <c r="B145" s="7"/>
    </row>
    <row r="146" spans="2:2" x14ac:dyDescent="0.5">
      <c r="B146" s="7"/>
    </row>
    <row r="147" spans="2:2" x14ac:dyDescent="0.5">
      <c r="B147" s="7"/>
    </row>
    <row r="148" spans="2:2" x14ac:dyDescent="0.5">
      <c r="B148" s="7"/>
    </row>
    <row r="149" spans="2:2" x14ac:dyDescent="0.5">
      <c r="B149" s="7"/>
    </row>
    <row r="150" spans="2:2" x14ac:dyDescent="0.5">
      <c r="B150" s="7"/>
    </row>
    <row r="151" spans="2:2" x14ac:dyDescent="0.5">
      <c r="B151" s="7"/>
    </row>
    <row r="152" spans="2:2" x14ac:dyDescent="0.5">
      <c r="B152" s="7"/>
    </row>
    <row r="153" spans="2:2" x14ac:dyDescent="0.5">
      <c r="B153" s="7"/>
    </row>
    <row r="154" spans="2:2" x14ac:dyDescent="0.5">
      <c r="B154" s="7"/>
    </row>
    <row r="155" spans="2:2" x14ac:dyDescent="0.5">
      <c r="B155" s="7"/>
    </row>
    <row r="156" spans="2:2" x14ac:dyDescent="0.5">
      <c r="B156" s="7"/>
    </row>
    <row r="157" spans="2:2" x14ac:dyDescent="0.5">
      <c r="B157" s="7"/>
    </row>
    <row r="158" spans="2:2" x14ac:dyDescent="0.5">
      <c r="B158" s="7"/>
    </row>
    <row r="159" spans="2:2" x14ac:dyDescent="0.5">
      <c r="B159" s="7"/>
    </row>
    <row r="160" spans="2:2" x14ac:dyDescent="0.5">
      <c r="B160" s="7"/>
    </row>
    <row r="161" spans="2:2" x14ac:dyDescent="0.5">
      <c r="B161" s="7"/>
    </row>
    <row r="162" spans="2:2" x14ac:dyDescent="0.5">
      <c r="B162" s="7"/>
    </row>
    <row r="163" spans="2:2" x14ac:dyDescent="0.5">
      <c r="B163" s="7"/>
    </row>
    <row r="164" spans="2:2" x14ac:dyDescent="0.5">
      <c r="B164" s="7"/>
    </row>
    <row r="165" spans="2:2" x14ac:dyDescent="0.5">
      <c r="B165" s="7"/>
    </row>
    <row r="166" spans="2:2" x14ac:dyDescent="0.5">
      <c r="B166" s="7"/>
    </row>
    <row r="167" spans="2:2" x14ac:dyDescent="0.5">
      <c r="B167" s="7"/>
    </row>
    <row r="168" spans="2:2" x14ac:dyDescent="0.5">
      <c r="B168" s="7"/>
    </row>
    <row r="169" spans="2:2" x14ac:dyDescent="0.5">
      <c r="B169" s="7"/>
    </row>
    <row r="170" spans="2:2" x14ac:dyDescent="0.5">
      <c r="B170" s="7"/>
    </row>
    <row r="171" spans="2:2" x14ac:dyDescent="0.5">
      <c r="B171" s="7"/>
    </row>
    <row r="172" spans="2:2" x14ac:dyDescent="0.5">
      <c r="B172" s="7"/>
    </row>
    <row r="173" spans="2:2" x14ac:dyDescent="0.5">
      <c r="B173" s="7"/>
    </row>
    <row r="174" spans="2:2" x14ac:dyDescent="0.5">
      <c r="B174" s="7"/>
    </row>
    <row r="175" spans="2:2" x14ac:dyDescent="0.5">
      <c r="B175" s="7"/>
    </row>
    <row r="176" spans="2:2" x14ac:dyDescent="0.5">
      <c r="B176" s="7"/>
    </row>
    <row r="177" spans="2:2" x14ac:dyDescent="0.5">
      <c r="B177" s="7"/>
    </row>
    <row r="178" spans="2:2" x14ac:dyDescent="0.5">
      <c r="B178" s="7"/>
    </row>
    <row r="179" spans="2:2" x14ac:dyDescent="0.5">
      <c r="B179" s="7"/>
    </row>
    <row r="180" spans="2:2" x14ac:dyDescent="0.5">
      <c r="B180" s="7"/>
    </row>
    <row r="181" spans="2:2" x14ac:dyDescent="0.5">
      <c r="B181" s="7"/>
    </row>
    <row r="182" spans="2:2" x14ac:dyDescent="0.5">
      <c r="B182" s="7"/>
    </row>
    <row r="183" spans="2:2" x14ac:dyDescent="0.5">
      <c r="B183" s="7"/>
    </row>
    <row r="184" spans="2:2" x14ac:dyDescent="0.5">
      <c r="B184" s="7"/>
    </row>
    <row r="185" spans="2:2" x14ac:dyDescent="0.5">
      <c r="B185" s="7"/>
    </row>
    <row r="186" spans="2:2" x14ac:dyDescent="0.5">
      <c r="B186" s="7"/>
    </row>
    <row r="187" spans="2:2" x14ac:dyDescent="0.5">
      <c r="B187" s="7"/>
    </row>
    <row r="188" spans="2:2" x14ac:dyDescent="0.5">
      <c r="B188" s="7"/>
    </row>
    <row r="189" spans="2:2" x14ac:dyDescent="0.5">
      <c r="B189" s="7"/>
    </row>
    <row r="190" spans="2:2" x14ac:dyDescent="0.5">
      <c r="B190" s="7"/>
    </row>
    <row r="191" spans="2:2" x14ac:dyDescent="0.5">
      <c r="B191" s="7"/>
    </row>
    <row r="192" spans="2:2" x14ac:dyDescent="0.5">
      <c r="B192" s="7"/>
    </row>
    <row r="193" spans="2:2" x14ac:dyDescent="0.5">
      <c r="B193" s="7"/>
    </row>
    <row r="194" spans="2:2" x14ac:dyDescent="0.5">
      <c r="B194" s="7"/>
    </row>
    <row r="195" spans="2:2" x14ac:dyDescent="0.5">
      <c r="B195" s="7"/>
    </row>
    <row r="196" spans="2:2" x14ac:dyDescent="0.5">
      <c r="B196" s="7"/>
    </row>
    <row r="197" spans="2:2" x14ac:dyDescent="0.5">
      <c r="B197" s="7"/>
    </row>
    <row r="198" spans="2:2" x14ac:dyDescent="0.5">
      <c r="B198" s="7"/>
    </row>
    <row r="199" spans="2:2" x14ac:dyDescent="0.5">
      <c r="B199" s="7"/>
    </row>
    <row r="200" spans="2:2" x14ac:dyDescent="0.5">
      <c r="B200" s="7"/>
    </row>
    <row r="201" spans="2:2" x14ac:dyDescent="0.5">
      <c r="B201" s="7"/>
    </row>
    <row r="202" spans="2:2" x14ac:dyDescent="0.5">
      <c r="B202" s="7"/>
    </row>
    <row r="203" spans="2:2" x14ac:dyDescent="0.5">
      <c r="B203" s="7"/>
    </row>
    <row r="204" spans="2:2" x14ac:dyDescent="0.5">
      <c r="B204" s="7"/>
    </row>
    <row r="205" spans="2:2" x14ac:dyDescent="0.5">
      <c r="B205" s="7"/>
    </row>
    <row r="206" spans="2:2" x14ac:dyDescent="0.5">
      <c r="B206" s="7"/>
    </row>
    <row r="207" spans="2:2" x14ac:dyDescent="0.5">
      <c r="B207" s="7"/>
    </row>
    <row r="208" spans="2:2" x14ac:dyDescent="0.5">
      <c r="B208" s="7"/>
    </row>
    <row r="209" spans="2:2" x14ac:dyDescent="0.5">
      <c r="B209" s="7"/>
    </row>
    <row r="210" spans="2:2" x14ac:dyDescent="0.5">
      <c r="B210" s="7"/>
    </row>
    <row r="211" spans="2:2" x14ac:dyDescent="0.5">
      <c r="B211" s="7"/>
    </row>
    <row r="212" spans="2:2" x14ac:dyDescent="0.5">
      <c r="B212" s="7"/>
    </row>
    <row r="213" spans="2:2" x14ac:dyDescent="0.5">
      <c r="B213" s="7"/>
    </row>
    <row r="214" spans="2:2" x14ac:dyDescent="0.5">
      <c r="B214" s="7"/>
    </row>
    <row r="215" spans="2:2" x14ac:dyDescent="0.5">
      <c r="B215" s="7"/>
    </row>
    <row r="216" spans="2:2" x14ac:dyDescent="0.5">
      <c r="B216" s="7"/>
    </row>
    <row r="217" spans="2:2" x14ac:dyDescent="0.5">
      <c r="B217" s="7"/>
    </row>
    <row r="218" spans="2:2" x14ac:dyDescent="0.5">
      <c r="B218" s="7"/>
    </row>
    <row r="219" spans="2:2" x14ac:dyDescent="0.5">
      <c r="B219" s="7"/>
    </row>
    <row r="220" spans="2:2" x14ac:dyDescent="0.5">
      <c r="B220" s="7"/>
    </row>
    <row r="221" spans="2:2" x14ac:dyDescent="0.5">
      <c r="B221" s="7"/>
    </row>
    <row r="222" spans="2:2" x14ac:dyDescent="0.5">
      <c r="B222" s="7"/>
    </row>
    <row r="223" spans="2:2" x14ac:dyDescent="0.5">
      <c r="B223" s="7"/>
    </row>
    <row r="224" spans="2:2" x14ac:dyDescent="0.5">
      <c r="B224" s="7"/>
    </row>
    <row r="225" spans="2:2" x14ac:dyDescent="0.5">
      <c r="B225" s="7"/>
    </row>
    <row r="226" spans="2:2" x14ac:dyDescent="0.5">
      <c r="B226" s="7"/>
    </row>
    <row r="227" spans="2:2" x14ac:dyDescent="0.5">
      <c r="B227" s="7"/>
    </row>
    <row r="228" spans="2:2" x14ac:dyDescent="0.5">
      <c r="B228" s="7"/>
    </row>
    <row r="229" spans="2:2" x14ac:dyDescent="0.5">
      <c r="B229" s="7"/>
    </row>
    <row r="230" spans="2:2" x14ac:dyDescent="0.5">
      <c r="B230" s="7"/>
    </row>
    <row r="231" spans="2:2" x14ac:dyDescent="0.5">
      <c r="B231" s="7"/>
    </row>
    <row r="232" spans="2:2" x14ac:dyDescent="0.5">
      <c r="B232" s="7"/>
    </row>
    <row r="233" spans="2:2" x14ac:dyDescent="0.5">
      <c r="B233" s="7"/>
    </row>
    <row r="234" spans="2:2" x14ac:dyDescent="0.5">
      <c r="B234" s="7"/>
    </row>
    <row r="235" spans="2:2" x14ac:dyDescent="0.5">
      <c r="B235" s="7"/>
    </row>
    <row r="236" spans="2:2" x14ac:dyDescent="0.5">
      <c r="B236" s="7"/>
    </row>
    <row r="237" spans="2:2" x14ac:dyDescent="0.5">
      <c r="B237" s="7"/>
    </row>
    <row r="238" spans="2:2" x14ac:dyDescent="0.5">
      <c r="B238" s="7"/>
    </row>
    <row r="239" spans="2:2" x14ac:dyDescent="0.5">
      <c r="B239" s="7"/>
    </row>
    <row r="240" spans="2:2" x14ac:dyDescent="0.5">
      <c r="B240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CE22-A544-4A1A-AECA-65975584FB69}">
  <dimension ref="A1:B203"/>
  <sheetViews>
    <sheetView workbookViewId="0">
      <selection activeCell="D9" sqref="D9"/>
    </sheetView>
  </sheetViews>
  <sheetFormatPr baseColWidth="10" defaultRowHeight="15.75" x14ac:dyDescent="0.5"/>
  <sheetData>
    <row r="1" spans="1:2" x14ac:dyDescent="0.5">
      <c r="A1" t="s">
        <v>18</v>
      </c>
      <c r="B1" s="2" t="s">
        <v>17</v>
      </c>
    </row>
    <row r="2" spans="1:2" x14ac:dyDescent="0.5">
      <c r="A2">
        <v>298.14999999999998</v>
      </c>
      <c r="B2">
        <v>2.5709999999999997</v>
      </c>
    </row>
    <row r="3" spans="1:2" x14ac:dyDescent="0.5">
      <c r="A3">
        <v>303.14999999999998</v>
      </c>
      <c r="B3">
        <v>2.2629999999999999</v>
      </c>
    </row>
    <row r="4" spans="1:2" x14ac:dyDescent="0.5">
      <c r="A4">
        <v>313.14999999999998</v>
      </c>
      <c r="B4">
        <v>1.7734000000000001</v>
      </c>
    </row>
    <row r="5" spans="1:2" x14ac:dyDescent="0.5">
      <c r="A5">
        <v>323.14999999999998</v>
      </c>
      <c r="B5">
        <v>1.4098999999999999</v>
      </c>
    </row>
    <row r="6" spans="1:2" x14ac:dyDescent="0.5">
      <c r="A6">
        <v>333.15</v>
      </c>
      <c r="B6">
        <v>1.1356999999999999</v>
      </c>
    </row>
    <row r="7" spans="1:2" x14ac:dyDescent="0.5">
      <c r="A7">
        <v>343.15</v>
      </c>
      <c r="B7">
        <v>0.92599999999999993</v>
      </c>
    </row>
    <row r="8" spans="1:2" x14ac:dyDescent="0.5">
      <c r="A8">
        <v>353.15</v>
      </c>
      <c r="B8">
        <v>0.76300000000000001</v>
      </c>
    </row>
    <row r="9" spans="1:2" x14ac:dyDescent="0.5">
      <c r="A9">
        <v>363.15</v>
      </c>
      <c r="B9">
        <v>0.63500000000000001</v>
      </c>
    </row>
    <row r="10" spans="1:2" x14ac:dyDescent="0.5">
      <c r="A10">
        <v>373.15</v>
      </c>
      <c r="B10">
        <v>0.53399999999999992</v>
      </c>
    </row>
    <row r="11" spans="1:2" x14ac:dyDescent="0.5">
      <c r="A11">
        <v>383.15</v>
      </c>
      <c r="B11">
        <v>0.45199999999999996</v>
      </c>
    </row>
    <row r="12" spans="1:2" x14ac:dyDescent="0.5">
      <c r="A12">
        <v>388.15</v>
      </c>
      <c r="B12">
        <v>0.41699999999999998</v>
      </c>
    </row>
    <row r="13" spans="1:2" x14ac:dyDescent="0.5">
      <c r="B13" s="3"/>
    </row>
    <row r="14" spans="1:2" x14ac:dyDescent="0.5">
      <c r="B14" s="3"/>
    </row>
    <row r="15" spans="1:2" x14ac:dyDescent="0.5">
      <c r="B15" s="3"/>
    </row>
    <row r="16" spans="1:2" x14ac:dyDescent="0.5">
      <c r="B16" s="3"/>
    </row>
    <row r="17" spans="2:2" x14ac:dyDescent="0.5">
      <c r="B17" s="1"/>
    </row>
    <row r="18" spans="2:2" x14ac:dyDescent="0.5">
      <c r="B18" s="1"/>
    </row>
    <row r="19" spans="2:2" x14ac:dyDescent="0.5">
      <c r="B19" s="1"/>
    </row>
    <row r="20" spans="2:2" x14ac:dyDescent="0.5">
      <c r="B20" s="1"/>
    </row>
    <row r="21" spans="2:2" x14ac:dyDescent="0.5">
      <c r="B21" s="1"/>
    </row>
    <row r="22" spans="2:2" x14ac:dyDescent="0.5">
      <c r="B22" s="1"/>
    </row>
    <row r="23" spans="2:2" x14ac:dyDescent="0.5">
      <c r="B23" s="1"/>
    </row>
    <row r="24" spans="2:2" x14ac:dyDescent="0.5">
      <c r="B24" s="1"/>
    </row>
    <row r="25" spans="2:2" x14ac:dyDescent="0.5">
      <c r="B25" s="1"/>
    </row>
    <row r="26" spans="2:2" x14ac:dyDescent="0.5">
      <c r="B26" s="1"/>
    </row>
    <row r="27" spans="2:2" x14ac:dyDescent="0.5">
      <c r="B27" s="1"/>
    </row>
    <row r="28" spans="2:2" x14ac:dyDescent="0.5">
      <c r="B28" s="1"/>
    </row>
    <row r="29" spans="2:2" x14ac:dyDescent="0.5">
      <c r="B29" s="1"/>
    </row>
    <row r="30" spans="2:2" x14ac:dyDescent="0.5">
      <c r="B30" s="1"/>
    </row>
    <row r="31" spans="2:2" x14ac:dyDescent="0.5">
      <c r="B31" s="1"/>
    </row>
    <row r="32" spans="2:2" x14ac:dyDescent="0.5">
      <c r="B32" s="1"/>
    </row>
    <row r="33" spans="2:2" x14ac:dyDescent="0.5">
      <c r="B33" s="1"/>
    </row>
    <row r="34" spans="2:2" x14ac:dyDescent="0.5">
      <c r="B34" s="1"/>
    </row>
    <row r="35" spans="2:2" x14ac:dyDescent="0.5">
      <c r="B35" s="1"/>
    </row>
    <row r="36" spans="2:2" x14ac:dyDescent="0.5">
      <c r="B36" s="1"/>
    </row>
    <row r="37" spans="2:2" x14ac:dyDescent="0.5">
      <c r="B37" s="1"/>
    </row>
    <row r="38" spans="2:2" x14ac:dyDescent="0.5">
      <c r="B38" s="1"/>
    </row>
    <row r="39" spans="2:2" x14ac:dyDescent="0.5">
      <c r="B39" s="1"/>
    </row>
    <row r="40" spans="2:2" x14ac:dyDescent="0.5">
      <c r="B40" s="1"/>
    </row>
    <row r="41" spans="2:2" x14ac:dyDescent="0.5">
      <c r="B41" s="1"/>
    </row>
    <row r="42" spans="2:2" x14ac:dyDescent="0.5">
      <c r="B42" s="1"/>
    </row>
    <row r="43" spans="2:2" x14ac:dyDescent="0.5">
      <c r="B43" s="1"/>
    </row>
    <row r="44" spans="2:2" x14ac:dyDescent="0.5">
      <c r="B44" s="1"/>
    </row>
    <row r="45" spans="2:2" x14ac:dyDescent="0.5">
      <c r="B45" s="1"/>
    </row>
    <row r="46" spans="2:2" x14ac:dyDescent="0.5">
      <c r="B46" s="1"/>
    </row>
    <row r="47" spans="2:2" x14ac:dyDescent="0.5">
      <c r="B47" s="1"/>
    </row>
    <row r="48" spans="2:2" x14ac:dyDescent="0.5">
      <c r="B48" s="1"/>
    </row>
    <row r="49" spans="2:2" x14ac:dyDescent="0.5">
      <c r="B49" s="1"/>
    </row>
    <row r="50" spans="2:2" x14ac:dyDescent="0.5">
      <c r="B50" s="1"/>
    </row>
    <row r="51" spans="2:2" x14ac:dyDescent="0.5">
      <c r="B51" s="1"/>
    </row>
    <row r="52" spans="2:2" x14ac:dyDescent="0.5">
      <c r="B52" s="1"/>
    </row>
    <row r="53" spans="2:2" x14ac:dyDescent="0.5">
      <c r="B53" s="1"/>
    </row>
    <row r="54" spans="2:2" x14ac:dyDescent="0.5">
      <c r="B54" s="1"/>
    </row>
    <row r="55" spans="2:2" x14ac:dyDescent="0.5">
      <c r="B55" s="1"/>
    </row>
    <row r="56" spans="2:2" x14ac:dyDescent="0.5">
      <c r="B56" s="1"/>
    </row>
    <row r="57" spans="2:2" x14ac:dyDescent="0.5">
      <c r="B57" s="1"/>
    </row>
    <row r="58" spans="2:2" x14ac:dyDescent="0.5">
      <c r="B58" s="1"/>
    </row>
    <row r="59" spans="2:2" x14ac:dyDescent="0.5">
      <c r="B59" s="1"/>
    </row>
    <row r="60" spans="2:2" x14ac:dyDescent="0.5">
      <c r="B60" s="1"/>
    </row>
    <row r="61" spans="2:2" x14ac:dyDescent="0.5">
      <c r="B61" s="1"/>
    </row>
    <row r="62" spans="2:2" x14ac:dyDescent="0.5">
      <c r="B62" s="1"/>
    </row>
    <row r="63" spans="2:2" x14ac:dyDescent="0.5">
      <c r="B63" s="1"/>
    </row>
    <row r="64" spans="2:2" x14ac:dyDescent="0.5">
      <c r="B64" s="1"/>
    </row>
    <row r="65" spans="2:2" x14ac:dyDescent="0.5">
      <c r="B65" s="1"/>
    </row>
    <row r="66" spans="2:2" x14ac:dyDescent="0.5">
      <c r="B66" s="4"/>
    </row>
    <row r="67" spans="2:2" x14ac:dyDescent="0.5">
      <c r="B67" s="4"/>
    </row>
    <row r="68" spans="2:2" x14ac:dyDescent="0.5">
      <c r="B68" s="4"/>
    </row>
    <row r="69" spans="2:2" x14ac:dyDescent="0.5">
      <c r="B69" s="4"/>
    </row>
    <row r="70" spans="2:2" x14ac:dyDescent="0.5">
      <c r="B70" s="4"/>
    </row>
    <row r="71" spans="2:2" x14ac:dyDescent="0.5">
      <c r="B71" s="4"/>
    </row>
    <row r="72" spans="2:2" x14ac:dyDescent="0.5">
      <c r="B72" s="4"/>
    </row>
    <row r="73" spans="2:2" x14ac:dyDescent="0.5">
      <c r="B73" s="4"/>
    </row>
    <row r="74" spans="2:2" x14ac:dyDescent="0.5">
      <c r="B74" s="4"/>
    </row>
    <row r="75" spans="2:2" x14ac:dyDescent="0.5">
      <c r="B75" s="4"/>
    </row>
    <row r="76" spans="2:2" x14ac:dyDescent="0.5">
      <c r="B76" s="4"/>
    </row>
    <row r="77" spans="2:2" x14ac:dyDescent="0.5">
      <c r="B77" s="4"/>
    </row>
    <row r="78" spans="2:2" x14ac:dyDescent="0.5">
      <c r="B78" s="4"/>
    </row>
    <row r="79" spans="2:2" x14ac:dyDescent="0.5">
      <c r="B79" s="4"/>
    </row>
    <row r="80" spans="2:2" x14ac:dyDescent="0.5">
      <c r="B80" s="4"/>
    </row>
    <row r="81" spans="2:2" x14ac:dyDescent="0.5">
      <c r="B81" s="4"/>
    </row>
    <row r="82" spans="2:2" x14ac:dyDescent="0.5">
      <c r="B82" s="4"/>
    </row>
    <row r="83" spans="2:2" x14ac:dyDescent="0.5">
      <c r="B83" s="4"/>
    </row>
    <row r="84" spans="2:2" x14ac:dyDescent="0.5">
      <c r="B84" s="4"/>
    </row>
    <row r="85" spans="2:2" x14ac:dyDescent="0.5">
      <c r="B85" s="4"/>
    </row>
    <row r="86" spans="2:2" x14ac:dyDescent="0.5">
      <c r="B86" s="4"/>
    </row>
    <row r="87" spans="2:2" x14ac:dyDescent="0.5">
      <c r="B87" s="4"/>
    </row>
    <row r="88" spans="2:2" x14ac:dyDescent="0.5">
      <c r="B88" s="4"/>
    </row>
    <row r="89" spans="2:2" x14ac:dyDescent="0.5">
      <c r="B89" s="4"/>
    </row>
    <row r="90" spans="2:2" x14ac:dyDescent="0.5">
      <c r="B90" s="4"/>
    </row>
    <row r="91" spans="2:2" x14ac:dyDescent="0.5">
      <c r="B91" s="4"/>
    </row>
    <row r="92" spans="2:2" x14ac:dyDescent="0.5">
      <c r="B92" s="4"/>
    </row>
    <row r="93" spans="2:2" x14ac:dyDescent="0.5">
      <c r="B93" s="4"/>
    </row>
    <row r="94" spans="2:2" x14ac:dyDescent="0.5">
      <c r="B94" s="4"/>
    </row>
    <row r="95" spans="2:2" x14ac:dyDescent="0.5">
      <c r="B95" s="4"/>
    </row>
    <row r="96" spans="2:2" x14ac:dyDescent="0.5">
      <c r="B96" s="4"/>
    </row>
    <row r="97" spans="2:2" x14ac:dyDescent="0.5">
      <c r="B97" s="4"/>
    </row>
    <row r="98" spans="2:2" x14ac:dyDescent="0.5">
      <c r="B98" s="4"/>
    </row>
    <row r="99" spans="2:2" x14ac:dyDescent="0.5">
      <c r="B99" s="4"/>
    </row>
    <row r="100" spans="2:2" x14ac:dyDescent="0.5">
      <c r="B100" s="4"/>
    </row>
    <row r="101" spans="2:2" x14ac:dyDescent="0.5">
      <c r="B101" s="4"/>
    </row>
    <row r="102" spans="2:2" x14ac:dyDescent="0.5">
      <c r="B102" s="4"/>
    </row>
    <row r="103" spans="2:2" x14ac:dyDescent="0.5">
      <c r="B103" s="4"/>
    </row>
    <row r="104" spans="2:2" x14ac:dyDescent="0.5">
      <c r="B104" s="4"/>
    </row>
    <row r="105" spans="2:2" x14ac:dyDescent="0.5">
      <c r="B105" s="4"/>
    </row>
    <row r="106" spans="2:2" x14ac:dyDescent="0.5">
      <c r="B106" s="4"/>
    </row>
    <row r="107" spans="2:2" x14ac:dyDescent="0.5">
      <c r="B107" s="4"/>
    </row>
    <row r="108" spans="2:2" x14ac:dyDescent="0.5">
      <c r="B108" s="4"/>
    </row>
    <row r="109" spans="2:2" x14ac:dyDescent="0.5">
      <c r="B109" s="4"/>
    </row>
    <row r="110" spans="2:2" x14ac:dyDescent="0.5">
      <c r="B110" s="4"/>
    </row>
    <row r="111" spans="2:2" x14ac:dyDescent="0.5">
      <c r="B111" s="4"/>
    </row>
    <row r="112" spans="2:2" x14ac:dyDescent="0.5">
      <c r="B112" s="4"/>
    </row>
    <row r="113" spans="2:2" x14ac:dyDescent="0.5">
      <c r="B113" s="4"/>
    </row>
    <row r="114" spans="2:2" x14ac:dyDescent="0.5">
      <c r="B114" s="4"/>
    </row>
    <row r="115" spans="2:2" x14ac:dyDescent="0.5">
      <c r="B115" s="4"/>
    </row>
    <row r="116" spans="2:2" x14ac:dyDescent="0.5">
      <c r="B116" s="4"/>
    </row>
    <row r="117" spans="2:2" x14ac:dyDescent="0.5">
      <c r="B117" s="4"/>
    </row>
    <row r="118" spans="2:2" x14ac:dyDescent="0.5">
      <c r="B118" s="4"/>
    </row>
    <row r="119" spans="2:2" x14ac:dyDescent="0.5">
      <c r="B119" s="4"/>
    </row>
    <row r="120" spans="2:2" x14ac:dyDescent="0.5">
      <c r="B120" s="4"/>
    </row>
    <row r="121" spans="2:2" x14ac:dyDescent="0.5">
      <c r="B121" s="4"/>
    </row>
    <row r="122" spans="2:2" x14ac:dyDescent="0.5">
      <c r="B122" s="4"/>
    </row>
    <row r="123" spans="2:2" x14ac:dyDescent="0.5">
      <c r="B123" s="4"/>
    </row>
    <row r="124" spans="2:2" x14ac:dyDescent="0.5">
      <c r="B124" s="4"/>
    </row>
    <row r="125" spans="2:2" x14ac:dyDescent="0.5">
      <c r="B125" s="4"/>
    </row>
    <row r="126" spans="2:2" x14ac:dyDescent="0.5">
      <c r="B126" s="4"/>
    </row>
    <row r="127" spans="2:2" x14ac:dyDescent="0.5">
      <c r="B127" s="4"/>
    </row>
    <row r="128" spans="2:2" x14ac:dyDescent="0.5">
      <c r="B128" s="4"/>
    </row>
    <row r="129" spans="2:2" x14ac:dyDescent="0.5">
      <c r="B129" s="4"/>
    </row>
    <row r="130" spans="2:2" x14ac:dyDescent="0.5">
      <c r="B130" s="4"/>
    </row>
    <row r="131" spans="2:2" x14ac:dyDescent="0.5">
      <c r="B131" s="4"/>
    </row>
    <row r="132" spans="2:2" x14ac:dyDescent="0.5">
      <c r="B132" s="4"/>
    </row>
    <row r="133" spans="2:2" x14ac:dyDescent="0.5">
      <c r="B133" s="4"/>
    </row>
    <row r="134" spans="2:2" x14ac:dyDescent="0.5">
      <c r="B134" s="4"/>
    </row>
    <row r="135" spans="2:2" x14ac:dyDescent="0.5">
      <c r="B135" s="4"/>
    </row>
    <row r="136" spans="2:2" x14ac:dyDescent="0.5">
      <c r="B136" s="4"/>
    </row>
    <row r="137" spans="2:2" x14ac:dyDescent="0.5">
      <c r="B137" s="4"/>
    </row>
    <row r="138" spans="2:2" x14ac:dyDescent="0.5">
      <c r="B138" s="4"/>
    </row>
    <row r="139" spans="2:2" x14ac:dyDescent="0.5">
      <c r="B139" s="4"/>
    </row>
    <row r="140" spans="2:2" x14ac:dyDescent="0.5">
      <c r="B140" s="4"/>
    </row>
    <row r="141" spans="2:2" x14ac:dyDescent="0.5">
      <c r="B141" s="4"/>
    </row>
    <row r="142" spans="2:2" x14ac:dyDescent="0.5">
      <c r="B142" s="4"/>
    </row>
    <row r="143" spans="2:2" x14ac:dyDescent="0.5">
      <c r="B143" s="4"/>
    </row>
    <row r="144" spans="2:2" x14ac:dyDescent="0.5">
      <c r="B144" s="4"/>
    </row>
    <row r="145" spans="2:2" x14ac:dyDescent="0.5">
      <c r="B145" s="4"/>
    </row>
    <row r="146" spans="2:2" x14ac:dyDescent="0.5">
      <c r="B146" s="4"/>
    </row>
    <row r="147" spans="2:2" x14ac:dyDescent="0.5">
      <c r="B147" s="4"/>
    </row>
    <row r="148" spans="2:2" x14ac:dyDescent="0.5">
      <c r="B148" s="4"/>
    </row>
    <row r="149" spans="2:2" x14ac:dyDescent="0.5">
      <c r="B149" s="4"/>
    </row>
    <row r="150" spans="2:2" x14ac:dyDescent="0.5">
      <c r="B150" s="4"/>
    </row>
    <row r="151" spans="2:2" x14ac:dyDescent="0.5">
      <c r="B151" s="4"/>
    </row>
    <row r="152" spans="2:2" x14ac:dyDescent="0.5">
      <c r="B152" s="4"/>
    </row>
    <row r="153" spans="2:2" x14ac:dyDescent="0.5">
      <c r="B153" s="7"/>
    </row>
    <row r="154" spans="2:2" x14ac:dyDescent="0.5">
      <c r="B154" s="7"/>
    </row>
    <row r="155" spans="2:2" x14ac:dyDescent="0.5">
      <c r="B155" s="7"/>
    </row>
    <row r="156" spans="2:2" x14ac:dyDescent="0.5">
      <c r="B156" s="7"/>
    </row>
    <row r="157" spans="2:2" x14ac:dyDescent="0.5">
      <c r="B157" s="7"/>
    </row>
    <row r="158" spans="2:2" x14ac:dyDescent="0.5">
      <c r="B158" s="7"/>
    </row>
    <row r="159" spans="2:2" x14ac:dyDescent="0.5">
      <c r="B159" s="7"/>
    </row>
    <row r="160" spans="2:2" x14ac:dyDescent="0.5">
      <c r="B160" s="7"/>
    </row>
    <row r="161" spans="2:2" x14ac:dyDescent="0.5">
      <c r="B161" s="7"/>
    </row>
    <row r="162" spans="2:2" x14ac:dyDescent="0.5">
      <c r="B162" s="7"/>
    </row>
    <row r="163" spans="2:2" x14ac:dyDescent="0.5">
      <c r="B163" s="7"/>
    </row>
    <row r="164" spans="2:2" x14ac:dyDescent="0.5">
      <c r="B164" s="7"/>
    </row>
    <row r="165" spans="2:2" x14ac:dyDescent="0.5">
      <c r="B165" s="7"/>
    </row>
    <row r="166" spans="2:2" x14ac:dyDescent="0.5">
      <c r="B166" s="7"/>
    </row>
    <row r="167" spans="2:2" x14ac:dyDescent="0.5">
      <c r="B167" s="7"/>
    </row>
    <row r="168" spans="2:2" x14ac:dyDescent="0.5">
      <c r="B168" s="7"/>
    </row>
    <row r="169" spans="2:2" x14ac:dyDescent="0.5">
      <c r="B169" s="7"/>
    </row>
    <row r="170" spans="2:2" x14ac:dyDescent="0.5">
      <c r="B170" s="7"/>
    </row>
    <row r="171" spans="2:2" x14ac:dyDescent="0.5">
      <c r="B171" s="7"/>
    </row>
    <row r="172" spans="2:2" x14ac:dyDescent="0.5">
      <c r="B172" s="7"/>
    </row>
    <row r="173" spans="2:2" x14ac:dyDescent="0.5">
      <c r="B173" s="7"/>
    </row>
    <row r="174" spans="2:2" x14ac:dyDescent="0.5">
      <c r="B174" s="7"/>
    </row>
    <row r="175" spans="2:2" x14ac:dyDescent="0.5">
      <c r="B175" s="7"/>
    </row>
    <row r="176" spans="2:2" x14ac:dyDescent="0.5">
      <c r="B176" s="7"/>
    </row>
    <row r="177" spans="2:2" x14ac:dyDescent="0.5">
      <c r="B177" s="7"/>
    </row>
    <row r="178" spans="2:2" x14ac:dyDescent="0.5">
      <c r="B178" s="7"/>
    </row>
    <row r="179" spans="2:2" x14ac:dyDescent="0.5">
      <c r="B179" s="7"/>
    </row>
    <row r="180" spans="2:2" x14ac:dyDescent="0.5">
      <c r="B180" s="7"/>
    </row>
    <row r="181" spans="2:2" x14ac:dyDescent="0.5">
      <c r="B181" s="7"/>
    </row>
    <row r="182" spans="2:2" x14ac:dyDescent="0.5">
      <c r="B182" s="7"/>
    </row>
    <row r="183" spans="2:2" x14ac:dyDescent="0.5">
      <c r="B183" s="7"/>
    </row>
    <row r="184" spans="2:2" x14ac:dyDescent="0.5">
      <c r="B184" s="7"/>
    </row>
    <row r="185" spans="2:2" x14ac:dyDescent="0.5">
      <c r="B185" s="7"/>
    </row>
    <row r="186" spans="2:2" x14ac:dyDescent="0.5">
      <c r="B186" s="7"/>
    </row>
    <row r="187" spans="2:2" x14ac:dyDescent="0.5">
      <c r="B187" s="7"/>
    </row>
    <row r="188" spans="2:2" x14ac:dyDescent="0.5">
      <c r="B188" s="7"/>
    </row>
    <row r="189" spans="2:2" x14ac:dyDescent="0.5">
      <c r="B189" s="7"/>
    </row>
    <row r="190" spans="2:2" x14ac:dyDescent="0.5">
      <c r="B190" s="7"/>
    </row>
    <row r="191" spans="2:2" x14ac:dyDescent="0.5">
      <c r="B191" s="7"/>
    </row>
    <row r="192" spans="2:2" x14ac:dyDescent="0.5">
      <c r="B192" s="7"/>
    </row>
    <row r="193" spans="2:2" x14ac:dyDescent="0.5">
      <c r="B193" s="7"/>
    </row>
    <row r="194" spans="2:2" x14ac:dyDescent="0.5">
      <c r="B194" s="7"/>
    </row>
    <row r="195" spans="2:2" x14ac:dyDescent="0.5">
      <c r="B195" s="7"/>
    </row>
    <row r="196" spans="2:2" x14ac:dyDescent="0.5">
      <c r="B196" s="7"/>
    </row>
    <row r="197" spans="2:2" x14ac:dyDescent="0.5">
      <c r="B197" s="7"/>
    </row>
    <row r="198" spans="2:2" x14ac:dyDescent="0.5">
      <c r="B198" s="7"/>
    </row>
    <row r="199" spans="2:2" x14ac:dyDescent="0.5">
      <c r="B199" s="7"/>
    </row>
    <row r="200" spans="2:2" x14ac:dyDescent="0.5">
      <c r="B200" s="7"/>
    </row>
    <row r="201" spans="2:2" x14ac:dyDescent="0.5">
      <c r="B201" s="7"/>
    </row>
    <row r="202" spans="2:2" x14ac:dyDescent="0.5">
      <c r="B202" s="7"/>
    </row>
    <row r="203" spans="2:2" x14ac:dyDescent="0.5">
      <c r="B203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ADFF-A494-42E0-8606-0B47DF345B8E}">
  <dimension ref="A1:B14"/>
  <sheetViews>
    <sheetView workbookViewId="0">
      <selection activeCell="C10" sqref="C10"/>
    </sheetView>
  </sheetViews>
  <sheetFormatPr baseColWidth="10" defaultRowHeight="15.75" x14ac:dyDescent="0.5"/>
  <sheetData>
    <row r="1" spans="1:2" x14ac:dyDescent="0.5">
      <c r="A1" t="s">
        <v>9</v>
      </c>
      <c r="B1" t="s">
        <v>29</v>
      </c>
    </row>
    <row r="2" spans="1:2" x14ac:dyDescent="0.5">
      <c r="A2" s="1">
        <v>0</v>
      </c>
      <c r="B2" s="3">
        <v>24.47</v>
      </c>
    </row>
    <row r="3" spans="1:2" x14ac:dyDescent="0.5">
      <c r="A3" s="1">
        <v>5.4358599088206158E-2</v>
      </c>
      <c r="B3" s="3">
        <v>24.2</v>
      </c>
    </row>
    <row r="4" spans="1:2" x14ac:dyDescent="0.5">
      <c r="A4" s="1">
        <v>9.3435366287786537E-2</v>
      </c>
      <c r="B4" s="3">
        <v>23.92</v>
      </c>
    </row>
    <row r="5" spans="1:2" x14ac:dyDescent="0.5">
      <c r="A5" s="1">
        <v>0.20032670145111364</v>
      </c>
      <c r="B5" s="3">
        <v>23.64</v>
      </c>
    </row>
    <row r="6" spans="1:2" x14ac:dyDescent="0.5">
      <c r="A6" s="1">
        <v>0.30174891750987298</v>
      </c>
      <c r="B6" s="3">
        <v>23.43</v>
      </c>
    </row>
    <row r="7" spans="1:2" x14ac:dyDescent="0.5">
      <c r="A7" s="1">
        <v>0.41152251942545587</v>
      </c>
      <c r="B7" s="3">
        <v>23.19</v>
      </c>
    </row>
    <row r="8" spans="1:2" x14ac:dyDescent="0.5">
      <c r="A8" s="1">
        <v>0.50738600645422682</v>
      </c>
      <c r="B8" s="3">
        <v>22.9</v>
      </c>
    </row>
    <row r="9" spans="1:2" x14ac:dyDescent="0.5">
      <c r="A9" s="1">
        <v>0.62024279308670327</v>
      </c>
      <c r="B9" s="3">
        <v>22.69</v>
      </c>
    </row>
    <row r="10" spans="1:2" x14ac:dyDescent="0.5">
      <c r="A10" s="1">
        <v>0.71687677468674438</v>
      </c>
      <c r="B10" s="3">
        <v>22.53</v>
      </c>
    </row>
    <row r="11" spans="1:2" x14ac:dyDescent="0.5">
      <c r="A11" s="1">
        <v>0.83051673142859572</v>
      </c>
      <c r="B11" s="3">
        <v>22.39</v>
      </c>
    </row>
    <row r="12" spans="1:2" x14ac:dyDescent="0.5">
      <c r="A12" s="1">
        <v>0.92122475021653816</v>
      </c>
      <c r="B12" s="3">
        <v>22.25</v>
      </c>
    </row>
    <row r="13" spans="1:2" x14ac:dyDescent="0.5">
      <c r="A13" s="1">
        <v>0.96468124563196112</v>
      </c>
      <c r="B13" s="3">
        <v>22.19</v>
      </c>
    </row>
    <row r="14" spans="1:2" x14ac:dyDescent="0.5">
      <c r="A14" s="1">
        <v>1</v>
      </c>
      <c r="B14" s="3">
        <v>22.17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virial</vt:lpstr>
      <vt:lpstr>VLE_20</vt:lpstr>
      <vt:lpstr>VLE_50</vt:lpstr>
      <vt:lpstr>VLE_75</vt:lpstr>
      <vt:lpstr>VLE_94</vt:lpstr>
      <vt:lpstr>VLE_101</vt:lpstr>
      <vt:lpstr>VLE_298</vt:lpstr>
      <vt:lpstr>psat1</vt:lpstr>
      <vt:lpstr>psat1_Melissa</vt:lpstr>
      <vt:lpstr>psat1_Lladosa</vt:lpstr>
      <vt:lpstr>psat2</vt:lpstr>
      <vt:lpstr>puros</vt:lpstr>
      <vt:lpstr>denl1</vt:lpstr>
      <vt:lpstr>liqden</vt:lpstr>
      <vt:lpstr>Abala</vt:lpstr>
      <vt:lpstr>Bernazani</vt:lpstr>
      <vt:lpstr>Kammerer</vt:lpstr>
      <vt:lpstr>dyn_vis</vt:lpstr>
      <vt:lpstr>viscpure_1</vt:lpstr>
      <vt:lpstr>viscpure_2</vt:lpstr>
      <vt:lpstr>stension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Mejia, Andres</dc:creator>
  <cp:lastModifiedBy>Juan Manuel Uceda Pérez</cp:lastModifiedBy>
  <dcterms:created xsi:type="dcterms:W3CDTF">2024-03-06T11:32:47Z</dcterms:created>
  <dcterms:modified xsi:type="dcterms:W3CDTF">2024-09-21T22:16:52Z</dcterms:modified>
</cp:coreProperties>
</file>