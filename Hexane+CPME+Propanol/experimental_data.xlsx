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ia\OneDrive\Escritorio\Doctorado\Hexano-CPME-Propanol Artículo\Python definitivo\"/>
    </mc:Choice>
  </mc:AlternateContent>
  <xr:revisionPtr revIDLastSave="0" documentId="13_ncr:1_{83294D86-2455-4FD1-80AA-2E70FD965989}" xr6:coauthVersionLast="47" xr6:coauthVersionMax="47" xr10:uidLastSave="{00000000-0000-0000-0000-000000000000}"/>
  <bookViews>
    <workbookView xWindow="-108" yWindow="-108" windowWidth="23256" windowHeight="12456" firstSheet="1" activeTab="8" xr2:uid="{C4CF4240-2F14-0644-925C-D02B2633425D}"/>
  </bookViews>
  <sheets>
    <sheet name="puros" sheetId="1" r:id="rId1"/>
    <sheet name="vle" sheetId="6" r:id="rId2"/>
    <sheet name="viscosity" sheetId="4" r:id="rId3"/>
    <sheet name="density" sheetId="8" r:id="rId4"/>
    <sheet name="IFT" sheetId="3" r:id="rId5"/>
    <sheet name="visc_hexane" sheetId="9" r:id="rId6"/>
    <sheet name="visc_cpme" sheetId="10" r:id="rId7"/>
    <sheet name="visc_propanol" sheetId="11" r:id="rId8"/>
    <sheet name="A-scaling Parameters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8" i="1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2" i="4"/>
  <c r="G1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2" i="3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2" i="6"/>
</calcChain>
</file>

<file path=xl/sharedStrings.xml><?xml version="1.0" encoding="utf-8"?>
<sst xmlns="http://schemas.openxmlformats.org/spreadsheetml/2006/main" count="88" uniqueCount="50">
  <si>
    <t>T/K</t>
  </si>
  <si>
    <t>Antoine</t>
  </si>
  <si>
    <t>A</t>
  </si>
  <si>
    <t>B</t>
  </si>
  <si>
    <t>C</t>
  </si>
  <si>
    <t>Tb</t>
  </si>
  <si>
    <t>Cromatografo</t>
  </si>
  <si>
    <t>Hexano</t>
  </si>
  <si>
    <t>CPME</t>
  </si>
  <si>
    <t>1-propanol</t>
  </si>
  <si>
    <t>Tcolumna</t>
  </si>
  <si>
    <t>Tinyector</t>
  </si>
  <si>
    <t>Experimental</t>
  </si>
  <si>
    <t>Tdetector</t>
  </si>
  <si>
    <t>Densidad</t>
  </si>
  <si>
    <t>Indice de Ref.</t>
  </si>
  <si>
    <t>Humedad</t>
  </si>
  <si>
    <t>Tension</t>
  </si>
  <si>
    <t>Pureza</t>
  </si>
  <si>
    <t>Viscosidad</t>
  </si>
  <si>
    <t>Mw</t>
  </si>
  <si>
    <t xml:space="preserve"> </t>
  </si>
  <si>
    <t>m_lab</t>
  </si>
  <si>
    <t>x hexane</t>
  </si>
  <si>
    <t>x CPME</t>
  </si>
  <si>
    <t>x propanol</t>
  </si>
  <si>
    <t>y hexane</t>
  </si>
  <si>
    <t>y CPME</t>
  </si>
  <si>
    <t>y propanol</t>
  </si>
  <si>
    <t>P/Pa</t>
  </si>
  <si>
    <t>T / K</t>
  </si>
  <si>
    <t>P / Pa</t>
  </si>
  <si>
    <t>xHexane</t>
  </si>
  <si>
    <t>xCPME</t>
  </si>
  <si>
    <t>xPropanol</t>
  </si>
  <si>
    <t>rho_g/cm3</t>
  </si>
  <si>
    <t>rho_kg/m3</t>
  </si>
  <si>
    <t>IFT /mN/m</t>
  </si>
  <si>
    <t>η/mPas</t>
  </si>
  <si>
    <t>ρ / gcm^{−3}</t>
  </si>
  <si>
    <t>η / mPas</t>
  </si>
  <si>
    <t>theta</t>
  </si>
  <si>
    <t>a</t>
  </si>
  <si>
    <t>b</t>
  </si>
  <si>
    <t>c</t>
  </si>
  <si>
    <t>d</t>
  </si>
  <si>
    <t>n-hexane</t>
  </si>
  <si>
    <t>propan-1-ol</t>
  </si>
  <si>
    <t xml:space="preserve">%error </t>
  </si>
  <si>
    <t>Error viscosity ternary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</si>
</sst>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8" formatCode="0.0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8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9868-DD68-ED49-881C-75ADE4CF35B9}">
  <dimension ref="A1:I36"/>
  <sheetViews>
    <sheetView topLeftCell="A7" workbookViewId="0">
      <selection activeCell="G15" sqref="G15"/>
    </sheetView>
  </sheetViews>
  <sheetFormatPr baseColWidth="10" defaultRowHeight="15.6" x14ac:dyDescent="0.3"/>
  <cols>
    <col min="1" max="1" width="12.19921875" bestFit="1" customWidth="1"/>
  </cols>
  <sheetData>
    <row r="1" spans="1:9" x14ac:dyDescent="0.3">
      <c r="A1" t="s">
        <v>1</v>
      </c>
    </row>
    <row r="2" spans="1:9" x14ac:dyDescent="0.3">
      <c r="C2" t="s">
        <v>2</v>
      </c>
      <c r="D2" t="s">
        <v>3</v>
      </c>
      <c r="E2" t="s">
        <v>4</v>
      </c>
      <c r="F2" t="s">
        <v>5</v>
      </c>
      <c r="H2" t="s">
        <v>6</v>
      </c>
    </row>
    <row r="3" spans="1:9" x14ac:dyDescent="0.3">
      <c r="B3" t="s">
        <v>7</v>
      </c>
      <c r="C3">
        <v>6.2528289449139001</v>
      </c>
      <c r="D3">
        <v>1310.63321980204</v>
      </c>
      <c r="E3">
        <v>-33.206600350495201</v>
      </c>
      <c r="F3">
        <v>341.94</v>
      </c>
    </row>
    <row r="4" spans="1:9" x14ac:dyDescent="0.3">
      <c r="B4" t="s">
        <v>8</v>
      </c>
      <c r="C4">
        <v>6.5772033631828899</v>
      </c>
      <c r="D4">
        <v>1636.35340109857</v>
      </c>
      <c r="E4">
        <v>-20.370552082690399</v>
      </c>
      <c r="F4">
        <v>378.32</v>
      </c>
    </row>
    <row r="5" spans="1:9" x14ac:dyDescent="0.3">
      <c r="B5" t="s">
        <v>9</v>
      </c>
      <c r="C5">
        <v>7.0071000000000003</v>
      </c>
      <c r="D5">
        <v>1517.6</v>
      </c>
      <c r="E5">
        <v>-66.802999999999997</v>
      </c>
      <c r="F5">
        <v>370.25</v>
      </c>
      <c r="H5" t="s">
        <v>10</v>
      </c>
      <c r="I5">
        <v>200</v>
      </c>
    </row>
    <row r="6" spans="1:9" x14ac:dyDescent="0.3">
      <c r="H6" t="s">
        <v>11</v>
      </c>
      <c r="I6">
        <v>210</v>
      </c>
    </row>
    <row r="7" spans="1:9" x14ac:dyDescent="0.3">
      <c r="F7" t="s">
        <v>12</v>
      </c>
      <c r="H7" t="s">
        <v>13</v>
      </c>
      <c r="I7">
        <v>220</v>
      </c>
    </row>
    <row r="8" spans="1:9" x14ac:dyDescent="0.3">
      <c r="A8" t="s">
        <v>14</v>
      </c>
      <c r="B8" t="s">
        <v>7</v>
      </c>
      <c r="C8">
        <v>0.65519000000000005</v>
      </c>
      <c r="E8">
        <v>7.6027877313826339E-3</v>
      </c>
      <c r="F8">
        <v>0.66031799999999996</v>
      </c>
      <c r="G8">
        <f>F8*1000</f>
        <v>660.31799999999998</v>
      </c>
    </row>
    <row r="9" spans="1:9" x14ac:dyDescent="0.3">
      <c r="B9" t="s">
        <v>8</v>
      </c>
      <c r="C9">
        <v>0.85816000000000003</v>
      </c>
      <c r="E9">
        <v>8.5678058326094982E-3</v>
      </c>
      <c r="F9">
        <v>0.86066799999999999</v>
      </c>
      <c r="G9">
        <f t="shared" ref="G9:G10" si="0">F9*1000</f>
        <v>860.66800000000001</v>
      </c>
    </row>
    <row r="10" spans="1:9" x14ac:dyDescent="0.3">
      <c r="B10" t="s">
        <v>9</v>
      </c>
      <c r="C10">
        <v>0.79996</v>
      </c>
      <c r="E10">
        <v>1.3311368477103302E-2</v>
      </c>
      <c r="F10">
        <v>0.79959999999999998</v>
      </c>
      <c r="G10">
        <f t="shared" si="0"/>
        <v>799.6</v>
      </c>
    </row>
    <row r="12" spans="1:9" x14ac:dyDescent="0.3">
      <c r="A12" t="s">
        <v>15</v>
      </c>
      <c r="B12" t="s">
        <v>7</v>
      </c>
      <c r="C12">
        <v>1.37374</v>
      </c>
      <c r="F12">
        <v>1.3783399999999999</v>
      </c>
    </row>
    <row r="13" spans="1:9" x14ac:dyDescent="0.3">
      <c r="B13" t="s">
        <v>8</v>
      </c>
      <c r="C13">
        <v>1.4199200000000001</v>
      </c>
      <c r="F13">
        <v>1.4198</v>
      </c>
    </row>
    <row r="14" spans="1:9" x14ac:dyDescent="0.3">
      <c r="B14" t="s">
        <v>9</v>
      </c>
      <c r="C14">
        <v>1.38452</v>
      </c>
      <c r="F14">
        <v>1.38364</v>
      </c>
    </row>
    <row r="16" spans="1:9" x14ac:dyDescent="0.3">
      <c r="A16" t="s">
        <v>16</v>
      </c>
      <c r="B16" t="s">
        <v>7</v>
      </c>
      <c r="C16">
        <v>36.6</v>
      </c>
    </row>
    <row r="17" spans="1:6" x14ac:dyDescent="0.3">
      <c r="B17" t="s">
        <v>8</v>
      </c>
      <c r="C17">
        <v>72.099999999999994</v>
      </c>
    </row>
    <row r="18" spans="1:6" x14ac:dyDescent="0.3">
      <c r="B18" t="s">
        <v>9</v>
      </c>
      <c r="C18">
        <v>399.8</v>
      </c>
    </row>
    <row r="20" spans="1:6" x14ac:dyDescent="0.3">
      <c r="A20" t="s">
        <v>17</v>
      </c>
      <c r="B20" t="s">
        <v>7</v>
      </c>
      <c r="C20">
        <v>17.899999999999999</v>
      </c>
      <c r="F20">
        <v>17.989999999999998</v>
      </c>
    </row>
    <row r="21" spans="1:6" x14ac:dyDescent="0.3">
      <c r="B21" t="s">
        <v>8</v>
      </c>
      <c r="C21">
        <v>25.3</v>
      </c>
      <c r="F21">
        <v>25.26</v>
      </c>
    </row>
    <row r="22" spans="1:6" x14ac:dyDescent="0.3">
      <c r="B22" t="s">
        <v>9</v>
      </c>
      <c r="C22">
        <v>23.32</v>
      </c>
      <c r="F22">
        <v>23.33</v>
      </c>
    </row>
    <row r="24" spans="1:6" x14ac:dyDescent="0.3">
      <c r="A24" t="s">
        <v>18</v>
      </c>
      <c r="B24" t="s">
        <v>7</v>
      </c>
      <c r="C24">
        <v>0.996</v>
      </c>
      <c r="F24">
        <v>99.953999999999994</v>
      </c>
    </row>
    <row r="25" spans="1:6" x14ac:dyDescent="0.3">
      <c r="B25" t="s">
        <v>8</v>
      </c>
      <c r="C25">
        <v>0.998</v>
      </c>
      <c r="F25">
        <v>99.914000000000001</v>
      </c>
    </row>
    <row r="26" spans="1:6" x14ac:dyDescent="0.3">
      <c r="B26" t="s">
        <v>9</v>
      </c>
      <c r="C26">
        <v>0.999</v>
      </c>
      <c r="F26">
        <v>99.94</v>
      </c>
    </row>
    <row r="28" spans="1:6" x14ac:dyDescent="0.3">
      <c r="A28" t="s">
        <v>19</v>
      </c>
      <c r="B28" t="s">
        <v>7</v>
      </c>
    </row>
    <row r="29" spans="1:6" x14ac:dyDescent="0.3">
      <c r="B29" t="s">
        <v>8</v>
      </c>
    </row>
    <row r="30" spans="1:6" x14ac:dyDescent="0.3">
      <c r="B30" t="s">
        <v>9</v>
      </c>
    </row>
    <row r="33" spans="1:3" x14ac:dyDescent="0.3">
      <c r="A33" t="s">
        <v>20</v>
      </c>
      <c r="B33" t="s">
        <v>7</v>
      </c>
      <c r="C33">
        <v>86.177599999999998</v>
      </c>
    </row>
    <row r="34" spans="1:3" x14ac:dyDescent="0.3">
      <c r="B34" t="s">
        <v>8</v>
      </c>
      <c r="C34">
        <v>100.161</v>
      </c>
    </row>
    <row r="35" spans="1:3" x14ac:dyDescent="0.3">
      <c r="B35" t="s">
        <v>9</v>
      </c>
      <c r="C35">
        <v>60.095999999999997</v>
      </c>
    </row>
    <row r="36" spans="1:3" x14ac:dyDescent="0.3">
      <c r="C3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13BD-27A7-40B0-AC85-6F4849B89FCB}">
  <dimension ref="A1:H51"/>
  <sheetViews>
    <sheetView workbookViewId="0">
      <selection activeCell="N9" sqref="N9"/>
    </sheetView>
  </sheetViews>
  <sheetFormatPr baseColWidth="10" defaultRowHeight="15.6" x14ac:dyDescent="0.3"/>
  <sheetData>
    <row r="1" spans="1:8" x14ac:dyDescent="0.3">
      <c r="A1" t="s">
        <v>0</v>
      </c>
      <c r="B1" t="s">
        <v>29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3">
      <c r="A2" s="3">
        <v>365.20666666666665</v>
      </c>
      <c r="B2">
        <v>94000</v>
      </c>
      <c r="C2" s="1">
        <v>7.5719150842144242E-2</v>
      </c>
      <c r="D2" s="1">
        <v>0.81784347503005461</v>
      </c>
      <c r="E2" s="1">
        <f>1-C2-D2</f>
        <v>0.10643737412780119</v>
      </c>
      <c r="F2" s="1">
        <v>0.22725952505927124</v>
      </c>
      <c r="G2" s="1">
        <v>0.57102188992805003</v>
      </c>
      <c r="H2" s="1">
        <f>1-F2-G2</f>
        <v>0.2017185850126787</v>
      </c>
    </row>
    <row r="3" spans="1:8" x14ac:dyDescent="0.3">
      <c r="A3" s="3">
        <v>362.83</v>
      </c>
      <c r="B3">
        <v>94000</v>
      </c>
      <c r="C3" s="1">
        <v>7.1133380533283344E-2</v>
      </c>
      <c r="D3" s="1">
        <v>0.73294940125348684</v>
      </c>
      <c r="E3" s="1">
        <f t="shared" ref="E3:E39" si="0">1-C3-D3</f>
        <v>0.19591721821322983</v>
      </c>
      <c r="F3" s="1">
        <v>0.21774157203057257</v>
      </c>
      <c r="G3" s="1">
        <v>0.48706824970651214</v>
      </c>
      <c r="H3" s="1">
        <f t="shared" ref="H3:H39" si="1">1-F3-G3</f>
        <v>0.29519017826291533</v>
      </c>
    </row>
    <row r="4" spans="1:8" x14ac:dyDescent="0.3">
      <c r="A4" s="3">
        <v>361.00499999999994</v>
      </c>
      <c r="B4">
        <v>94000</v>
      </c>
      <c r="C4" s="1">
        <v>7.3288763217055936E-2</v>
      </c>
      <c r="D4" s="1">
        <v>0.63464515078852923</v>
      </c>
      <c r="E4" s="1">
        <f t="shared" si="0"/>
        <v>0.29206608599441486</v>
      </c>
      <c r="F4" s="1">
        <v>0.23109292368477327</v>
      </c>
      <c r="G4" s="1">
        <v>0.41106631810512334</v>
      </c>
      <c r="H4" s="1">
        <f t="shared" si="1"/>
        <v>0.35784075821010336</v>
      </c>
    </row>
    <row r="5" spans="1:8" x14ac:dyDescent="0.3">
      <c r="A5" s="3">
        <v>359.67666666666662</v>
      </c>
      <c r="B5">
        <v>94000</v>
      </c>
      <c r="C5" s="1">
        <v>6.8249409470947736E-2</v>
      </c>
      <c r="D5" s="1">
        <v>0.54491965512084051</v>
      </c>
      <c r="E5" s="1">
        <f t="shared" si="0"/>
        <v>0.38683093540821178</v>
      </c>
      <c r="F5" s="1">
        <v>0.25017964228885831</v>
      </c>
      <c r="G5" s="1">
        <v>0.35415646052841865</v>
      </c>
      <c r="H5" s="1">
        <f t="shared" si="1"/>
        <v>0.3956638971827231</v>
      </c>
    </row>
    <row r="6" spans="1:8" x14ac:dyDescent="0.3">
      <c r="A6" s="3">
        <v>358.49333333333328</v>
      </c>
      <c r="B6">
        <v>94000</v>
      </c>
      <c r="C6" s="1">
        <v>7.1925323808200117E-2</v>
      </c>
      <c r="D6" s="1">
        <v>0.44006929335184902</v>
      </c>
      <c r="E6" s="1">
        <f t="shared" si="0"/>
        <v>0.48800538283995082</v>
      </c>
      <c r="F6" s="1">
        <v>0.27679449414223201</v>
      </c>
      <c r="G6" s="1">
        <v>0.2950927564089279</v>
      </c>
      <c r="H6" s="1">
        <f t="shared" si="1"/>
        <v>0.42811274944884009</v>
      </c>
    </row>
    <row r="7" spans="1:8" x14ac:dyDescent="0.3">
      <c r="A7" s="3">
        <v>357.27</v>
      </c>
      <c r="B7">
        <v>94000</v>
      </c>
      <c r="C7" s="1">
        <v>7.0763789701459245E-2</v>
      </c>
      <c r="D7" s="1">
        <v>0.34347761403493365</v>
      </c>
      <c r="E7" s="1">
        <f t="shared" si="0"/>
        <v>0.58575859626360716</v>
      </c>
      <c r="F7" s="1">
        <v>0.31461865845310966</v>
      </c>
      <c r="G7" s="1">
        <v>0.23767373506989894</v>
      </c>
      <c r="H7" s="1">
        <f t="shared" si="1"/>
        <v>0.44770760647699137</v>
      </c>
    </row>
    <row r="8" spans="1:8" x14ac:dyDescent="0.3">
      <c r="A8" s="3">
        <v>356.15666666666664</v>
      </c>
      <c r="B8">
        <v>94000</v>
      </c>
      <c r="C8" s="1">
        <v>5.8984195503949198E-2</v>
      </c>
      <c r="D8" s="1">
        <v>0.23862971449162029</v>
      </c>
      <c r="E8" s="1">
        <f t="shared" si="0"/>
        <v>0.70238609000443053</v>
      </c>
      <c r="F8" s="1">
        <v>0.32367954955232564</v>
      </c>
      <c r="G8" s="1">
        <v>0.18442826110782637</v>
      </c>
      <c r="H8" s="1">
        <f t="shared" si="1"/>
        <v>0.49189218933984791</v>
      </c>
    </row>
    <row r="9" spans="1:8" x14ac:dyDescent="0.3">
      <c r="A9" s="3">
        <v>352.13333333333327</v>
      </c>
      <c r="B9">
        <v>94000</v>
      </c>
      <c r="C9" s="1">
        <v>6.8709495201428578E-2</v>
      </c>
      <c r="D9" s="1">
        <v>0.12989127469671854</v>
      </c>
      <c r="E9" s="1">
        <f t="shared" si="0"/>
        <v>0.80139923010185288</v>
      </c>
      <c r="F9" s="1">
        <v>0.41728114702447783</v>
      </c>
      <c r="G9" s="1">
        <v>0.10372060771784306</v>
      </c>
      <c r="H9" s="1">
        <f t="shared" si="1"/>
        <v>0.47899824525767909</v>
      </c>
    </row>
    <row r="10" spans="1:8" x14ac:dyDescent="0.3">
      <c r="A10" s="3">
        <v>348.16999999999996</v>
      </c>
      <c r="B10">
        <v>94000</v>
      </c>
      <c r="C10" s="1">
        <v>0.13540255698297188</v>
      </c>
      <c r="D10" s="1">
        <v>0.12507547972333932</v>
      </c>
      <c r="E10" s="1">
        <f t="shared" si="0"/>
        <v>0.7395219632936888</v>
      </c>
      <c r="F10" s="1">
        <v>0.54110486251418477</v>
      </c>
      <c r="G10" s="1">
        <v>8.0419474700912416E-2</v>
      </c>
      <c r="H10" s="1">
        <f t="shared" si="1"/>
        <v>0.3784756627849028</v>
      </c>
    </row>
    <row r="11" spans="1:8" x14ac:dyDescent="0.3">
      <c r="A11" s="3">
        <v>349.86999999999995</v>
      </c>
      <c r="B11">
        <v>94000</v>
      </c>
      <c r="C11" s="1">
        <v>0.13748930117819327</v>
      </c>
      <c r="D11" s="1">
        <v>0.22221361729327735</v>
      </c>
      <c r="E11" s="1">
        <f t="shared" si="0"/>
        <v>0.64029708152852938</v>
      </c>
      <c r="F11" s="1">
        <v>0.49823906951292884</v>
      </c>
      <c r="G11" s="1">
        <v>0.134714488933837</v>
      </c>
      <c r="H11" s="1">
        <f t="shared" si="1"/>
        <v>0.36704644155323418</v>
      </c>
    </row>
    <row r="12" spans="1:8" x14ac:dyDescent="0.3">
      <c r="A12" s="3">
        <v>352.67999999999995</v>
      </c>
      <c r="B12">
        <v>94000</v>
      </c>
      <c r="C12" s="1">
        <v>0.13138208082244091</v>
      </c>
      <c r="D12" s="1">
        <v>0.32528106500230453</v>
      </c>
      <c r="E12" s="1">
        <f t="shared" si="0"/>
        <v>0.54333685417525457</v>
      </c>
      <c r="F12" s="1">
        <v>0.45385374103614595</v>
      </c>
      <c r="G12" s="1">
        <v>0.18220520401802656</v>
      </c>
      <c r="H12" s="1">
        <f t="shared" si="1"/>
        <v>0.36394105494582751</v>
      </c>
    </row>
    <row r="13" spans="1:8" x14ac:dyDescent="0.3">
      <c r="A13" s="3">
        <v>354.37333333333328</v>
      </c>
      <c r="B13">
        <v>94000</v>
      </c>
      <c r="C13" s="1">
        <v>0.12929348114766981</v>
      </c>
      <c r="D13" s="1">
        <v>0.4205424175884494</v>
      </c>
      <c r="E13" s="1">
        <f t="shared" si="0"/>
        <v>0.45016410126388079</v>
      </c>
      <c r="F13" s="1">
        <v>0.40376526398584245</v>
      </c>
      <c r="G13" s="1">
        <v>0.23878494858214136</v>
      </c>
      <c r="H13" s="1">
        <f t="shared" si="1"/>
        <v>0.35744978743201616</v>
      </c>
    </row>
    <row r="14" spans="1:8" x14ac:dyDescent="0.3">
      <c r="A14" s="3">
        <v>355.55333333333328</v>
      </c>
      <c r="B14">
        <v>94000</v>
      </c>
      <c r="C14" s="1">
        <v>0.13865435606458049</v>
      </c>
      <c r="D14" s="1">
        <v>0.51634510353622043</v>
      </c>
      <c r="E14" s="1">
        <f t="shared" si="0"/>
        <v>0.34500054039919903</v>
      </c>
      <c r="F14" s="1">
        <v>0.38740867099899334</v>
      </c>
      <c r="G14" s="1">
        <v>0.28400689313683453</v>
      </c>
      <c r="H14" s="1">
        <f t="shared" si="1"/>
        <v>0.32858443586417213</v>
      </c>
    </row>
    <row r="15" spans="1:8" x14ac:dyDescent="0.3">
      <c r="A15" s="3">
        <v>356.71333333333331</v>
      </c>
      <c r="B15">
        <v>94000</v>
      </c>
      <c r="C15" s="1">
        <v>0.1491400964975037</v>
      </c>
      <c r="D15" s="1">
        <v>0.60349706711717721</v>
      </c>
      <c r="E15" s="1">
        <f t="shared" si="0"/>
        <v>0.24736283638531908</v>
      </c>
      <c r="F15" s="1">
        <v>0.38204967856669098</v>
      </c>
      <c r="G15" s="1">
        <v>0.33343292805133545</v>
      </c>
      <c r="H15" s="1">
        <f t="shared" si="1"/>
        <v>0.28451739338197363</v>
      </c>
    </row>
    <row r="16" spans="1:8" x14ac:dyDescent="0.3">
      <c r="A16" s="3">
        <v>358.68333333333328</v>
      </c>
      <c r="B16">
        <v>94000</v>
      </c>
      <c r="C16" s="1">
        <v>0.16145531683951048</v>
      </c>
      <c r="D16" s="1">
        <v>0.69489829808835557</v>
      </c>
      <c r="E16" s="1">
        <f t="shared" si="0"/>
        <v>0.1436463850721339</v>
      </c>
      <c r="F16" s="1">
        <v>0.38228112016193339</v>
      </c>
      <c r="G16" s="1">
        <v>0.40808983645600905</v>
      </c>
      <c r="H16" s="1">
        <f t="shared" si="1"/>
        <v>0.20962904338205757</v>
      </c>
    </row>
    <row r="17" spans="1:8" x14ac:dyDescent="0.3">
      <c r="A17" s="3">
        <v>354.29999999999995</v>
      </c>
      <c r="B17">
        <v>94000</v>
      </c>
      <c r="C17" s="1">
        <v>0.2460255463586509</v>
      </c>
      <c r="D17" s="1">
        <v>0.60955025147324082</v>
      </c>
      <c r="E17" s="1">
        <f t="shared" si="0"/>
        <v>0.14442420216810825</v>
      </c>
      <c r="F17" s="1">
        <v>0.50683291730412749</v>
      </c>
      <c r="G17" s="1">
        <v>0.3033510125704309</v>
      </c>
      <c r="H17" s="1">
        <f t="shared" si="1"/>
        <v>0.1898160701254416</v>
      </c>
    </row>
    <row r="18" spans="1:8" x14ac:dyDescent="0.3">
      <c r="A18" s="3">
        <v>351.90666666666664</v>
      </c>
      <c r="B18">
        <v>94000</v>
      </c>
      <c r="C18" s="1">
        <v>0.2456137597849738</v>
      </c>
      <c r="D18" s="1">
        <v>0.51168112797001097</v>
      </c>
      <c r="E18" s="1">
        <f t="shared" si="0"/>
        <v>0.24270511224501523</v>
      </c>
      <c r="F18" s="1">
        <v>0.5063512278848793</v>
      </c>
      <c r="G18" s="1">
        <v>0.24717567256946882</v>
      </c>
      <c r="H18" s="1">
        <f t="shared" si="1"/>
        <v>0.24647309954565189</v>
      </c>
    </row>
    <row r="19" spans="1:8" x14ac:dyDescent="0.3">
      <c r="A19" s="3">
        <v>349.86333333333329</v>
      </c>
      <c r="B19">
        <v>94000</v>
      </c>
      <c r="C19" s="1">
        <v>0.25044351075935994</v>
      </c>
      <c r="D19" s="1">
        <v>0.4156858928400804</v>
      </c>
      <c r="E19" s="1">
        <f t="shared" si="0"/>
        <v>0.33387059640055972</v>
      </c>
      <c r="F19" s="1">
        <v>0.5359236426395364</v>
      </c>
      <c r="G19" s="1">
        <v>0.19425961159487265</v>
      </c>
      <c r="H19" s="1">
        <f t="shared" si="1"/>
        <v>0.26981674576559095</v>
      </c>
    </row>
    <row r="20" spans="1:8" x14ac:dyDescent="0.3">
      <c r="A20" s="3">
        <v>348.17333333333329</v>
      </c>
      <c r="B20">
        <v>94000</v>
      </c>
      <c r="C20" s="1">
        <v>0.24117129327059955</v>
      </c>
      <c r="D20" s="1">
        <v>0.32515537581620235</v>
      </c>
      <c r="E20" s="1">
        <f t="shared" si="0"/>
        <v>0.43367333091319804</v>
      </c>
      <c r="F20" s="1">
        <v>0.56843303766450848</v>
      </c>
      <c r="G20" s="1">
        <v>0.14854625452049464</v>
      </c>
      <c r="H20" s="1">
        <f t="shared" si="1"/>
        <v>0.28302070781499689</v>
      </c>
    </row>
    <row r="21" spans="1:8" x14ac:dyDescent="0.3">
      <c r="A21" s="3">
        <v>345.45</v>
      </c>
      <c r="B21">
        <v>94000</v>
      </c>
      <c r="C21" s="1">
        <v>0.2444749413160025</v>
      </c>
      <c r="D21" s="1">
        <v>0.22465951734137893</v>
      </c>
      <c r="E21" s="1">
        <f t="shared" si="0"/>
        <v>0.53086554134261854</v>
      </c>
      <c r="F21" s="1">
        <v>0.6112393520760816</v>
      </c>
      <c r="G21" s="1">
        <v>0.10340264208008937</v>
      </c>
      <c r="H21" s="1">
        <f t="shared" si="1"/>
        <v>0.28535800584382903</v>
      </c>
    </row>
    <row r="22" spans="1:8" x14ac:dyDescent="0.3">
      <c r="A22" s="3">
        <v>341.80333333333328</v>
      </c>
      <c r="B22">
        <v>94000</v>
      </c>
      <c r="C22" s="1">
        <v>0.25300351180892905</v>
      </c>
      <c r="D22" s="1">
        <v>0.12180883611357089</v>
      </c>
      <c r="E22" s="1">
        <f t="shared" si="0"/>
        <v>0.62518765207750004</v>
      </c>
      <c r="F22" s="1">
        <v>0.67319553625769912</v>
      </c>
      <c r="G22" s="1">
        <v>5.1545930537060414E-2</v>
      </c>
      <c r="H22" s="1">
        <f t="shared" si="1"/>
        <v>0.27525853320524046</v>
      </c>
    </row>
    <row r="23" spans="1:8" x14ac:dyDescent="0.3">
      <c r="A23" s="3">
        <v>340.76499999999993</v>
      </c>
      <c r="B23">
        <v>94000</v>
      </c>
      <c r="C23" s="1">
        <v>0.34869827808492121</v>
      </c>
      <c r="D23" s="1">
        <v>0.12029822635831008</v>
      </c>
      <c r="E23" s="1">
        <f t="shared" si="0"/>
        <v>0.53100349555676862</v>
      </c>
      <c r="F23" s="1">
        <v>0.71312066401354968</v>
      </c>
      <c r="G23" s="1">
        <v>4.3493483916269053E-2</v>
      </c>
      <c r="H23" s="1">
        <f t="shared" si="1"/>
        <v>0.24338585207018126</v>
      </c>
    </row>
    <row r="24" spans="1:8" x14ac:dyDescent="0.3">
      <c r="A24" s="3">
        <v>343.00999999999993</v>
      </c>
      <c r="B24">
        <v>94000</v>
      </c>
      <c r="C24" s="1">
        <v>0.35095462090859653</v>
      </c>
      <c r="D24" s="1">
        <v>0.21028717121426208</v>
      </c>
      <c r="E24" s="1">
        <f t="shared" si="0"/>
        <v>0.43875820787714137</v>
      </c>
      <c r="F24" s="1">
        <v>0.67880753244971859</v>
      </c>
      <c r="G24" s="1">
        <v>7.8940148489896028E-2</v>
      </c>
      <c r="H24" s="1">
        <f t="shared" si="1"/>
        <v>0.24225231906038538</v>
      </c>
    </row>
    <row r="25" spans="1:8" x14ac:dyDescent="0.3">
      <c r="A25" s="3">
        <v>345.11999999999995</v>
      </c>
      <c r="B25">
        <v>94000</v>
      </c>
      <c r="C25" s="1">
        <v>0.36130687401397155</v>
      </c>
      <c r="D25" s="1">
        <v>0.30279931531367565</v>
      </c>
      <c r="E25" s="1">
        <f t="shared" si="0"/>
        <v>0.3358938106723528</v>
      </c>
      <c r="F25" s="1">
        <v>0.6471233655349351</v>
      </c>
      <c r="G25" s="1">
        <v>0.11771949964229808</v>
      </c>
      <c r="H25" s="1">
        <f t="shared" si="1"/>
        <v>0.23515713482276682</v>
      </c>
    </row>
    <row r="26" spans="1:8" x14ac:dyDescent="0.3">
      <c r="A26" s="3">
        <v>347.56333333333328</v>
      </c>
      <c r="B26">
        <v>94000</v>
      </c>
      <c r="C26" s="1">
        <v>0.35563742145779542</v>
      </c>
      <c r="D26" s="1">
        <v>0.41109947151203907</v>
      </c>
      <c r="E26" s="1">
        <f t="shared" si="0"/>
        <v>0.23326310703016551</v>
      </c>
      <c r="F26" s="1">
        <v>0.61452124635339711</v>
      </c>
      <c r="G26" s="1">
        <v>0.16923034691635888</v>
      </c>
      <c r="H26" s="1">
        <f t="shared" si="1"/>
        <v>0.21624840673024401</v>
      </c>
    </row>
    <row r="27" spans="1:8" x14ac:dyDescent="0.3">
      <c r="A27" s="3">
        <v>349.68499999999995</v>
      </c>
      <c r="B27">
        <v>94000</v>
      </c>
      <c r="C27" s="1">
        <v>0.37083504106733017</v>
      </c>
      <c r="D27" s="1">
        <v>0.49252877011845286</v>
      </c>
      <c r="E27" s="1">
        <f t="shared" si="0"/>
        <v>0.13663618881421691</v>
      </c>
      <c r="F27" s="1">
        <v>0.61415845791227186</v>
      </c>
      <c r="G27" s="1">
        <v>0.21920680027840539</v>
      </c>
      <c r="H27" s="1">
        <f t="shared" si="1"/>
        <v>0.16663474180932275</v>
      </c>
    </row>
    <row r="28" spans="1:8" x14ac:dyDescent="0.3">
      <c r="A28" s="3">
        <v>346.5333333333333</v>
      </c>
      <c r="B28">
        <v>94000</v>
      </c>
      <c r="C28" s="1">
        <v>0.46540768618986478</v>
      </c>
      <c r="D28" s="1">
        <v>0.40464216379376161</v>
      </c>
      <c r="E28" s="1">
        <f t="shared" si="0"/>
        <v>0.12995015001637356</v>
      </c>
      <c r="F28" s="1">
        <v>0.68539120318135249</v>
      </c>
      <c r="G28" s="1">
        <v>0.15838912290998441</v>
      </c>
      <c r="H28" s="1">
        <f t="shared" si="1"/>
        <v>0.15621967390866309</v>
      </c>
    </row>
    <row r="29" spans="1:8" x14ac:dyDescent="0.3">
      <c r="A29" s="3">
        <v>344.05499999999995</v>
      </c>
      <c r="B29">
        <v>94000</v>
      </c>
      <c r="C29" s="1">
        <v>0.462744022073457</v>
      </c>
      <c r="D29" s="1">
        <v>0.30768922604973886</v>
      </c>
      <c r="E29" s="1">
        <f t="shared" si="0"/>
        <v>0.22956675187680414</v>
      </c>
      <c r="F29" s="1">
        <v>0.68899499060818925</v>
      </c>
      <c r="G29" s="1">
        <v>0.11152513868235216</v>
      </c>
      <c r="H29" s="1">
        <f t="shared" si="1"/>
        <v>0.19947987070945861</v>
      </c>
    </row>
    <row r="30" spans="1:8" x14ac:dyDescent="0.3">
      <c r="A30" s="3">
        <v>341.98999999999995</v>
      </c>
      <c r="B30">
        <v>94000</v>
      </c>
      <c r="C30" s="1">
        <v>0.45920170640805735</v>
      </c>
      <c r="D30" s="1">
        <v>0.20836343505616603</v>
      </c>
      <c r="E30" s="1">
        <f t="shared" si="0"/>
        <v>0.33243485853577659</v>
      </c>
      <c r="F30" s="1">
        <v>0.70973453384125607</v>
      </c>
      <c r="G30" s="1">
        <v>7.3145094079871451E-2</v>
      </c>
      <c r="H30" s="1">
        <f t="shared" si="1"/>
        <v>0.21712037207887247</v>
      </c>
    </row>
    <row r="31" spans="1:8" x14ac:dyDescent="0.3">
      <c r="A31" s="3">
        <v>339.55333333333328</v>
      </c>
      <c r="B31">
        <v>94000</v>
      </c>
      <c r="C31" s="1">
        <v>0.45895719347870911</v>
      </c>
      <c r="D31" s="1">
        <v>0.11531391878724172</v>
      </c>
      <c r="E31" s="1">
        <f t="shared" si="0"/>
        <v>0.42572888773404916</v>
      </c>
      <c r="F31" s="1">
        <v>0.74631849250290538</v>
      </c>
      <c r="G31" s="1">
        <v>3.4743425770975118E-2</v>
      </c>
      <c r="H31" s="1">
        <f t="shared" si="1"/>
        <v>0.2189380817261195</v>
      </c>
    </row>
    <row r="32" spans="1:8" x14ac:dyDescent="0.3">
      <c r="A32" s="3">
        <v>339.04666666666662</v>
      </c>
      <c r="B32">
        <v>94000</v>
      </c>
      <c r="C32" s="1">
        <v>0.559977543966379</v>
      </c>
      <c r="D32" s="1">
        <v>0.11046126143095129</v>
      </c>
      <c r="E32" s="1">
        <f t="shared" si="0"/>
        <v>0.32956119460266969</v>
      </c>
      <c r="F32" s="1">
        <v>0.76376795947318898</v>
      </c>
      <c r="G32" s="1">
        <v>3.2394344773000835E-2</v>
      </c>
      <c r="H32" s="1">
        <f t="shared" si="1"/>
        <v>0.20383769575381017</v>
      </c>
    </row>
    <row r="33" spans="1:8" x14ac:dyDescent="0.3">
      <c r="A33" s="3">
        <v>341.24999999999994</v>
      </c>
      <c r="B33">
        <v>94000</v>
      </c>
      <c r="C33" s="1">
        <v>0.52818555272417145</v>
      </c>
      <c r="D33" s="1">
        <v>0.21342850990998533</v>
      </c>
      <c r="E33" s="1">
        <f t="shared" si="0"/>
        <v>0.25838593736584325</v>
      </c>
      <c r="F33" s="1">
        <v>0.73166927672689785</v>
      </c>
      <c r="G33" s="1">
        <v>6.9401816986118414E-2</v>
      </c>
      <c r="H33" s="1">
        <f t="shared" si="1"/>
        <v>0.19892890628698373</v>
      </c>
    </row>
    <row r="34" spans="1:8" x14ac:dyDescent="0.3">
      <c r="A34" s="3">
        <v>343.32</v>
      </c>
      <c r="B34">
        <v>94000</v>
      </c>
      <c r="C34" s="1">
        <v>0.55121198904584157</v>
      </c>
      <c r="D34" s="1">
        <v>0.2975178271261007</v>
      </c>
      <c r="E34" s="1">
        <f t="shared" si="0"/>
        <v>0.15127018382805774</v>
      </c>
      <c r="F34" s="1">
        <v>0.73182797627989205</v>
      </c>
      <c r="G34" s="1">
        <v>0.10148235111417669</v>
      </c>
      <c r="H34" s="1">
        <f t="shared" si="1"/>
        <v>0.16668967260593126</v>
      </c>
    </row>
    <row r="35" spans="1:8" x14ac:dyDescent="0.3">
      <c r="A35" s="3">
        <v>340.95</v>
      </c>
      <c r="B35">
        <v>94000</v>
      </c>
      <c r="C35" s="1">
        <v>0.64901296404656028</v>
      </c>
      <c r="D35" s="1">
        <v>0.21294515535683345</v>
      </c>
      <c r="E35" s="1">
        <f t="shared" si="0"/>
        <v>0.13804188059660627</v>
      </c>
      <c r="F35" s="1">
        <v>0.77277225197991362</v>
      </c>
      <c r="G35" s="1">
        <v>6.7686449937959609E-2</v>
      </c>
      <c r="H35" s="1">
        <f t="shared" si="1"/>
        <v>0.15954129808212678</v>
      </c>
    </row>
    <row r="36" spans="1:8" x14ac:dyDescent="0.3">
      <c r="A36" s="3">
        <v>338.51</v>
      </c>
      <c r="B36">
        <v>94000</v>
      </c>
      <c r="C36" s="1">
        <v>0.66674018644611355</v>
      </c>
      <c r="D36" s="1">
        <v>0.11787503559297244</v>
      </c>
      <c r="E36" s="1">
        <f t="shared" si="0"/>
        <v>0.21538477796091401</v>
      </c>
      <c r="F36" s="1">
        <v>0.78843941537663342</v>
      </c>
      <c r="G36" s="1">
        <v>3.0574569623769601E-2</v>
      </c>
      <c r="H36" s="1">
        <f t="shared" si="1"/>
        <v>0.18098601499959699</v>
      </c>
    </row>
    <row r="37" spans="1:8" x14ac:dyDescent="0.3">
      <c r="A37" s="3">
        <v>339.00333333333327</v>
      </c>
      <c r="B37">
        <v>94000</v>
      </c>
      <c r="C37" s="1">
        <v>0.74985035647405307</v>
      </c>
      <c r="D37" s="1">
        <v>0.13546430736942741</v>
      </c>
      <c r="E37" s="1">
        <f t="shared" si="0"/>
        <v>0.11468533615651952</v>
      </c>
      <c r="F37" s="1">
        <v>0.81257691532373433</v>
      </c>
      <c r="G37" s="1">
        <v>3.7137727058254272E-2</v>
      </c>
      <c r="H37" s="1">
        <f t="shared" si="1"/>
        <v>0.1502853576180114</v>
      </c>
    </row>
    <row r="38" spans="1:8" x14ac:dyDescent="0.3">
      <c r="A38" s="3">
        <v>340.71</v>
      </c>
      <c r="B38">
        <v>94000</v>
      </c>
      <c r="C38" s="1">
        <v>0.75350201404420658</v>
      </c>
      <c r="D38" s="1">
        <v>0.18400773828669587</v>
      </c>
      <c r="E38" s="1">
        <f t="shared" si="0"/>
        <v>6.2490247669097554E-2</v>
      </c>
      <c r="F38" s="1">
        <v>0.83056433972902599</v>
      </c>
      <c r="G38" s="1">
        <v>5.8464888241265223E-2</v>
      </c>
      <c r="H38" s="1">
        <f t="shared" si="1"/>
        <v>0.11097077202970879</v>
      </c>
    </row>
    <row r="39" spans="1:8" x14ac:dyDescent="0.3">
      <c r="A39" s="3">
        <v>338.08</v>
      </c>
      <c r="B39">
        <v>94000</v>
      </c>
      <c r="C39" s="1">
        <v>0.81440100370207802</v>
      </c>
      <c r="D39" s="1">
        <v>8.4281686785056723E-2</v>
      </c>
      <c r="E39" s="1">
        <f t="shared" si="0"/>
        <v>0.10131730951286526</v>
      </c>
      <c r="F39" s="1">
        <v>0.83697755356552084</v>
      </c>
      <c r="G39" s="1">
        <v>1.4969041109498617E-2</v>
      </c>
      <c r="H39" s="1">
        <f t="shared" si="1"/>
        <v>0.14805340532498054</v>
      </c>
    </row>
    <row r="40" spans="1:8" x14ac:dyDescent="0.3">
      <c r="A40" s="2"/>
      <c r="C40" s="1"/>
      <c r="D40" s="1"/>
      <c r="E40" s="1"/>
      <c r="F40" s="1"/>
      <c r="G40" s="1"/>
      <c r="H40" s="1"/>
    </row>
    <row r="41" spans="1:8" x14ac:dyDescent="0.3">
      <c r="A41" s="2"/>
      <c r="C41" s="1"/>
      <c r="D41" s="1"/>
      <c r="E41" s="1"/>
      <c r="F41" s="1"/>
      <c r="G41" s="1"/>
      <c r="H41" s="1"/>
    </row>
    <row r="42" spans="1:8" x14ac:dyDescent="0.3">
      <c r="A42" s="2"/>
      <c r="C42" s="1"/>
      <c r="D42" s="1"/>
      <c r="E42" s="1"/>
      <c r="F42" s="1"/>
      <c r="G42" s="1"/>
      <c r="H42" s="1"/>
    </row>
    <row r="43" spans="1:8" x14ac:dyDescent="0.3">
      <c r="A43" s="2"/>
      <c r="C43" s="1"/>
      <c r="D43" s="1"/>
      <c r="E43" s="1"/>
      <c r="F43" s="1"/>
      <c r="G43" s="1"/>
      <c r="H43" s="1"/>
    </row>
    <row r="44" spans="1:8" x14ac:dyDescent="0.3">
      <c r="A44" s="2"/>
      <c r="C44" s="1"/>
      <c r="D44" s="1"/>
      <c r="E44" s="1"/>
      <c r="F44" s="1"/>
      <c r="G44" s="1"/>
      <c r="H44" s="1"/>
    </row>
    <row r="45" spans="1:8" x14ac:dyDescent="0.3">
      <c r="A45" s="2"/>
      <c r="C45" s="1"/>
      <c r="D45" s="1"/>
      <c r="E45" s="1"/>
      <c r="F45" s="1"/>
      <c r="G45" s="1"/>
      <c r="H45" s="1"/>
    </row>
    <row r="46" spans="1:8" x14ac:dyDescent="0.3">
      <c r="A46" s="2"/>
      <c r="C46" s="1"/>
      <c r="D46" s="1"/>
      <c r="E46" s="1"/>
      <c r="F46" s="1"/>
      <c r="G46" s="1"/>
      <c r="H46" s="1"/>
    </row>
    <row r="47" spans="1:8" x14ac:dyDescent="0.3">
      <c r="A47" s="2"/>
      <c r="C47" s="1"/>
      <c r="D47" s="1"/>
      <c r="E47" s="1"/>
      <c r="F47" s="1"/>
      <c r="G47" s="1"/>
      <c r="H47" s="1"/>
    </row>
    <row r="48" spans="1:8" x14ac:dyDescent="0.3">
      <c r="A48" s="2"/>
      <c r="C48" s="1"/>
      <c r="D48" s="1"/>
      <c r="E48" s="1"/>
      <c r="F48" s="1"/>
      <c r="G48" s="1"/>
      <c r="H48" s="1"/>
    </row>
    <row r="49" spans="1:8" x14ac:dyDescent="0.3">
      <c r="A49" s="2"/>
      <c r="C49" s="1"/>
      <c r="D49" s="1"/>
      <c r="E49" s="1"/>
      <c r="F49" s="1"/>
      <c r="G49" s="1"/>
      <c r="H49" s="1"/>
    </row>
    <row r="50" spans="1:8" x14ac:dyDescent="0.3">
      <c r="A50" s="2"/>
      <c r="C50" s="1"/>
      <c r="D50" s="1"/>
      <c r="E50" s="1"/>
      <c r="F50" s="1"/>
      <c r="G50" s="1"/>
      <c r="H50" s="1"/>
    </row>
    <row r="51" spans="1:8" x14ac:dyDescent="0.3">
      <c r="A51" s="2"/>
      <c r="C51" s="1"/>
      <c r="D51" s="1"/>
      <c r="E51" s="1"/>
      <c r="F51" s="1"/>
      <c r="G51" s="1"/>
      <c r="H5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C223-5086-8B48-98AE-B30BB5949F10}">
  <dimension ref="A1:H42"/>
  <sheetViews>
    <sheetView workbookViewId="0">
      <selection activeCell="C2" sqref="C2:H42"/>
    </sheetView>
  </sheetViews>
  <sheetFormatPr baseColWidth="10" defaultRowHeight="15.6" x14ac:dyDescent="0.3"/>
  <cols>
    <col min="3" max="6" width="11.296875" bestFit="1" customWidth="1"/>
    <col min="7" max="7" width="11.3984375" bestFit="1" customWidth="1"/>
    <col min="8" max="8" width="10.59765625" customWidth="1"/>
  </cols>
  <sheetData>
    <row r="1" spans="1:8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22</v>
      </c>
      <c r="G1" t="str">
        <f>H1</f>
        <v>rho_g/cm3</v>
      </c>
      <c r="H1" t="s">
        <v>35</v>
      </c>
    </row>
    <row r="2" spans="1:8" x14ac:dyDescent="0.3">
      <c r="A2">
        <v>298.14999999999998</v>
      </c>
      <c r="B2">
        <v>101325</v>
      </c>
      <c r="C2" s="3">
        <v>9.0337083680496935E-2</v>
      </c>
      <c r="D2" s="3">
        <v>0.10189975918678758</v>
      </c>
      <c r="E2" s="3">
        <v>0.80776315713271551</v>
      </c>
      <c r="F2" s="3">
        <v>1.1539999999999999</v>
      </c>
      <c r="G2" s="3">
        <f>H2/1000*100^3</f>
        <v>787.71331058020462</v>
      </c>
      <c r="H2" s="3">
        <v>0.78771331058020466</v>
      </c>
    </row>
    <row r="3" spans="1:8" x14ac:dyDescent="0.3">
      <c r="A3">
        <v>298.14999999999998</v>
      </c>
      <c r="B3">
        <v>101325</v>
      </c>
      <c r="C3" s="3">
        <v>8.4394276235227203E-2</v>
      </c>
      <c r="D3" s="3">
        <v>0.20583652533137697</v>
      </c>
      <c r="E3" s="3">
        <v>0.70976919843339592</v>
      </c>
      <c r="F3" s="3">
        <v>0.95299999999999996</v>
      </c>
      <c r="G3" s="3">
        <f t="shared" ref="G3:G42" si="0">H3/1000*100^3</f>
        <v>798.15745393634847</v>
      </c>
      <c r="H3" s="3">
        <v>0.7981574539363484</v>
      </c>
    </row>
    <row r="4" spans="1:8" x14ac:dyDescent="0.3">
      <c r="A4">
        <v>298.14999999999998</v>
      </c>
      <c r="B4">
        <v>101325</v>
      </c>
      <c r="C4" s="3">
        <v>8.7502818115400297E-2</v>
      </c>
      <c r="D4" s="3">
        <v>0.29734893863238931</v>
      </c>
      <c r="E4" s="3">
        <v>0.6151482432522104</v>
      </c>
      <c r="F4" s="3">
        <v>0.81100000000000005</v>
      </c>
      <c r="G4" s="3">
        <f t="shared" si="0"/>
        <v>805.36246276067538</v>
      </c>
      <c r="H4" s="3">
        <v>0.80536246276067536</v>
      </c>
    </row>
    <row r="5" spans="1:8" x14ac:dyDescent="0.3">
      <c r="A5">
        <v>298.14999999999998</v>
      </c>
      <c r="B5">
        <v>101325</v>
      </c>
      <c r="C5" s="3">
        <v>8.2224793666190885E-2</v>
      </c>
      <c r="D5" s="3">
        <v>0.40187513919504797</v>
      </c>
      <c r="E5" s="3">
        <v>0.51590006713876113</v>
      </c>
      <c r="F5" s="3">
        <v>0.70799999999999996</v>
      </c>
      <c r="G5" s="3">
        <f t="shared" si="0"/>
        <v>813.79310344827582</v>
      </c>
      <c r="H5" s="3">
        <v>0.81379310344827582</v>
      </c>
    </row>
    <row r="6" spans="1:8" x14ac:dyDescent="0.3">
      <c r="A6">
        <v>298.14999999999998</v>
      </c>
      <c r="B6">
        <v>101325</v>
      </c>
      <c r="C6" s="3">
        <v>8.8598318447366459E-2</v>
      </c>
      <c r="D6" s="3">
        <v>0.52215587594902124</v>
      </c>
      <c r="E6" s="3">
        <v>0.38924580560361216</v>
      </c>
      <c r="F6" s="3">
        <v>0.60799999999999998</v>
      </c>
      <c r="G6" s="3">
        <f t="shared" si="0"/>
        <v>819.40700808625331</v>
      </c>
      <c r="H6" s="3">
        <v>0.81940700808625333</v>
      </c>
    </row>
    <row r="7" spans="1:8" x14ac:dyDescent="0.3">
      <c r="A7">
        <v>298.14999999999998</v>
      </c>
      <c r="B7">
        <v>101325</v>
      </c>
      <c r="C7" s="3">
        <v>9.3084748654992791E-2</v>
      </c>
      <c r="D7" s="3">
        <v>0.6205027330315056</v>
      </c>
      <c r="E7" s="3">
        <v>0.28641251831350162</v>
      </c>
      <c r="F7" s="3">
        <v>0.56000000000000005</v>
      </c>
      <c r="G7" s="3">
        <f t="shared" si="0"/>
        <v>824.74226804123714</v>
      </c>
      <c r="H7" s="3">
        <v>0.82474226804123718</v>
      </c>
    </row>
    <row r="8" spans="1:8" x14ac:dyDescent="0.3">
      <c r="A8">
        <v>298.14999999999998</v>
      </c>
      <c r="B8">
        <v>101325</v>
      </c>
      <c r="C8" s="3">
        <v>8.2254003364276393E-2</v>
      </c>
      <c r="D8" s="3">
        <v>0.7136645018216411</v>
      </c>
      <c r="E8" s="3">
        <v>0.20408149481408239</v>
      </c>
      <c r="F8" s="3">
        <v>0.52600000000000002</v>
      </c>
      <c r="G8" s="3">
        <f t="shared" si="0"/>
        <v>830.96366508688789</v>
      </c>
      <c r="H8" s="3">
        <v>0.8309636650868879</v>
      </c>
    </row>
    <row r="9" spans="1:8" x14ac:dyDescent="0.3">
      <c r="A9">
        <v>298.14999999999998</v>
      </c>
      <c r="B9">
        <v>101325</v>
      </c>
      <c r="C9" s="3">
        <v>8.5098596144793578E-2</v>
      </c>
      <c r="D9" s="3">
        <v>0.81056376458266266</v>
      </c>
      <c r="E9" s="3">
        <v>0.10433763927254383</v>
      </c>
      <c r="F9" s="3">
        <v>0.49199999999999999</v>
      </c>
      <c r="G9" s="3">
        <f t="shared" si="0"/>
        <v>833.89830508474574</v>
      </c>
      <c r="H9" s="3">
        <v>0.83389830508474583</v>
      </c>
    </row>
    <row r="10" spans="1:8" x14ac:dyDescent="0.3">
      <c r="A10">
        <v>298.14999999999998</v>
      </c>
      <c r="B10">
        <v>101325</v>
      </c>
      <c r="C10" s="3">
        <v>0.17587074468117819</v>
      </c>
      <c r="D10" s="3">
        <v>9.9133475437927845E-2</v>
      </c>
      <c r="E10" s="3">
        <v>0.72499577988089403</v>
      </c>
      <c r="F10" s="3">
        <v>0.93500000000000005</v>
      </c>
      <c r="G10" s="3">
        <f t="shared" si="0"/>
        <v>770.8161582852432</v>
      </c>
      <c r="H10" s="3">
        <v>0.77081615828524319</v>
      </c>
    </row>
    <row r="11" spans="1:8" x14ac:dyDescent="0.3">
      <c r="A11">
        <v>298.14999999999998</v>
      </c>
      <c r="B11">
        <v>101325</v>
      </c>
      <c r="C11" s="3">
        <v>0.1699733691638512</v>
      </c>
      <c r="D11" s="3">
        <v>0.20679917533980433</v>
      </c>
      <c r="E11" s="3">
        <v>0.62322745549634462</v>
      </c>
      <c r="F11" s="3">
        <v>0.77600000000000002</v>
      </c>
      <c r="G11" s="3">
        <f t="shared" si="0"/>
        <v>781.47029204431021</v>
      </c>
      <c r="H11" s="3">
        <v>0.78147029204431018</v>
      </c>
    </row>
    <row r="12" spans="1:8" x14ac:dyDescent="0.3">
      <c r="A12">
        <v>298.14999999999998</v>
      </c>
      <c r="B12">
        <v>101325</v>
      </c>
      <c r="C12" s="3">
        <v>0.17491969101266439</v>
      </c>
      <c r="D12" s="3">
        <v>0.30802142206656141</v>
      </c>
      <c r="E12" s="3">
        <v>0.51705888692077417</v>
      </c>
      <c r="F12" s="3">
        <v>0.66500000000000004</v>
      </c>
      <c r="G12" s="3">
        <f t="shared" si="0"/>
        <v>788.84934756820883</v>
      </c>
      <c r="H12" s="3">
        <v>0.78884934756820879</v>
      </c>
    </row>
    <row r="13" spans="1:8" x14ac:dyDescent="0.3">
      <c r="A13">
        <v>298.14999999999998</v>
      </c>
      <c r="B13">
        <v>101325</v>
      </c>
      <c r="C13" s="3">
        <v>0.17399158610469134</v>
      </c>
      <c r="D13" s="3">
        <v>0.4193127240735896</v>
      </c>
      <c r="E13" s="3">
        <v>0.40669568982171894</v>
      </c>
      <c r="F13" s="3">
        <v>0.58199999999999996</v>
      </c>
      <c r="G13" s="3">
        <f t="shared" si="0"/>
        <v>796.16963064295487</v>
      </c>
      <c r="H13" s="3">
        <v>0.79616963064295487</v>
      </c>
    </row>
    <row r="14" spans="1:8" x14ac:dyDescent="0.3">
      <c r="A14">
        <v>298.14999999999998</v>
      </c>
      <c r="B14">
        <v>101325</v>
      </c>
      <c r="C14" s="3">
        <v>0.17292202370899953</v>
      </c>
      <c r="D14" s="3">
        <v>0.53444700911623144</v>
      </c>
      <c r="E14" s="3">
        <v>0.29263096717476911</v>
      </c>
      <c r="F14" s="3">
        <v>0.52</v>
      </c>
      <c r="G14" s="3">
        <f t="shared" si="0"/>
        <v>803.70942812983014</v>
      </c>
      <c r="H14" s="3">
        <v>0.80370942812983004</v>
      </c>
    </row>
    <row r="15" spans="1:8" x14ac:dyDescent="0.3">
      <c r="A15">
        <v>298.14999999999998</v>
      </c>
      <c r="B15">
        <v>101325</v>
      </c>
      <c r="C15" s="3">
        <v>0.18092238439765113</v>
      </c>
      <c r="D15" s="3">
        <v>0.61567785533961028</v>
      </c>
      <c r="E15" s="3">
        <v>0.20339976026273865</v>
      </c>
      <c r="F15" s="3">
        <v>0.48</v>
      </c>
      <c r="G15" s="3">
        <f t="shared" si="0"/>
        <v>808.08080808080808</v>
      </c>
      <c r="H15" s="3">
        <v>0.80808080808080807</v>
      </c>
    </row>
    <row r="16" spans="1:8" x14ac:dyDescent="0.3">
      <c r="A16">
        <v>298.14999999999998</v>
      </c>
      <c r="B16">
        <v>101325</v>
      </c>
      <c r="C16" s="3">
        <v>0.17141672654501505</v>
      </c>
      <c r="D16" s="3">
        <v>0.72610796979311687</v>
      </c>
      <c r="E16" s="3">
        <v>0.10247530366186805</v>
      </c>
      <c r="F16" s="3">
        <v>0.45400000000000001</v>
      </c>
      <c r="G16" s="3">
        <f t="shared" si="0"/>
        <v>815.08078994614004</v>
      </c>
      <c r="H16" s="3">
        <v>0.81508078994613997</v>
      </c>
    </row>
    <row r="17" spans="1:8" x14ac:dyDescent="0.3">
      <c r="A17">
        <v>298.14999999999998</v>
      </c>
      <c r="B17">
        <v>101325</v>
      </c>
      <c r="C17" s="3">
        <v>0.2652362603797162</v>
      </c>
      <c r="D17" s="3">
        <v>0.1026031310565948</v>
      </c>
      <c r="E17" s="3">
        <v>0.63216060856368905</v>
      </c>
      <c r="F17" s="3">
        <v>0.748</v>
      </c>
      <c r="G17" s="3">
        <f t="shared" si="0"/>
        <v>754.0322580645161</v>
      </c>
      <c r="H17" s="3">
        <v>0.75403225806451613</v>
      </c>
    </row>
    <row r="18" spans="1:8" x14ac:dyDescent="0.3">
      <c r="A18">
        <v>298.14999999999998</v>
      </c>
      <c r="B18">
        <v>101325</v>
      </c>
      <c r="C18" s="3">
        <v>0.26624353728611216</v>
      </c>
      <c r="D18" s="3">
        <v>0.20520817913531805</v>
      </c>
      <c r="E18" s="3">
        <v>0.52854828357856976</v>
      </c>
      <c r="F18" s="3">
        <v>0.63100000000000001</v>
      </c>
      <c r="G18" s="3">
        <f t="shared" si="0"/>
        <v>763.92251815980637</v>
      </c>
      <c r="H18" s="3">
        <v>0.76392251815980639</v>
      </c>
    </row>
    <row r="19" spans="1:8" x14ac:dyDescent="0.3">
      <c r="A19">
        <v>298.14999999999998</v>
      </c>
      <c r="B19">
        <v>101325</v>
      </c>
      <c r="C19" s="3">
        <v>0.25632003873072762</v>
      </c>
      <c r="D19" s="3">
        <v>0.3124736543318824</v>
      </c>
      <c r="E19" s="3">
        <v>0.43120630693739015</v>
      </c>
      <c r="F19" s="3">
        <v>0.56100000000000005</v>
      </c>
      <c r="G19" s="3">
        <f t="shared" si="0"/>
        <v>773.79310344827604</v>
      </c>
      <c r="H19" s="3">
        <v>0.77379310344827601</v>
      </c>
    </row>
    <row r="20" spans="1:8" x14ac:dyDescent="0.3">
      <c r="A20">
        <v>298.14999999999998</v>
      </c>
      <c r="B20">
        <v>101325</v>
      </c>
      <c r="C20" s="3">
        <v>0.26562549677570718</v>
      </c>
      <c r="D20" s="3">
        <v>0.43398937364746559</v>
      </c>
      <c r="E20" s="3">
        <v>0.30038512957682717</v>
      </c>
      <c r="F20" s="3">
        <v>0.48799999999999999</v>
      </c>
      <c r="G20" s="3">
        <f t="shared" si="0"/>
        <v>782.05128205128199</v>
      </c>
      <c r="H20" s="3">
        <v>0.78205128205128205</v>
      </c>
    </row>
    <row r="21" spans="1:8" x14ac:dyDescent="0.3">
      <c r="A21">
        <v>298.14999999999998</v>
      </c>
      <c r="B21">
        <v>101325</v>
      </c>
      <c r="C21" s="3">
        <v>0.26354134376871896</v>
      </c>
      <c r="D21" s="3">
        <v>0.52957821789412685</v>
      </c>
      <c r="E21" s="3">
        <v>0.20688043833715422</v>
      </c>
      <c r="F21" s="3">
        <v>0.45100000000000001</v>
      </c>
      <c r="G21" s="3">
        <f t="shared" si="0"/>
        <v>788.46153846153857</v>
      </c>
      <c r="H21" s="3">
        <v>0.78846153846153855</v>
      </c>
    </row>
    <row r="22" spans="1:8" x14ac:dyDescent="0.3">
      <c r="A22">
        <v>298.14999999999998</v>
      </c>
      <c r="B22">
        <v>101325</v>
      </c>
      <c r="C22" s="3">
        <v>0.261563302899677</v>
      </c>
      <c r="D22" s="3">
        <v>0.63449302170306243</v>
      </c>
      <c r="E22" s="3">
        <v>0.10394367539726068</v>
      </c>
      <c r="F22" s="3">
        <v>0.42299999999999999</v>
      </c>
      <c r="G22" s="3">
        <f t="shared" si="0"/>
        <v>795.11278195488705</v>
      </c>
      <c r="H22" s="3">
        <v>0.7951127819548871</v>
      </c>
    </row>
    <row r="23" spans="1:8" x14ac:dyDescent="0.3">
      <c r="A23">
        <v>298.14999999999998</v>
      </c>
      <c r="B23">
        <v>101325</v>
      </c>
      <c r="C23" s="3">
        <v>0.36847684312257067</v>
      </c>
      <c r="D23" s="3">
        <v>0.10588887139718302</v>
      </c>
      <c r="E23" s="3">
        <v>0.52563428548024627</v>
      </c>
      <c r="F23" s="3">
        <v>0.59299999999999997</v>
      </c>
      <c r="G23" s="3">
        <f t="shared" si="0"/>
        <v>736.6459627329192</v>
      </c>
      <c r="H23" s="3">
        <v>0.73664596273291916</v>
      </c>
    </row>
    <row r="24" spans="1:8" x14ac:dyDescent="0.3">
      <c r="A24">
        <v>298.14999999999998</v>
      </c>
      <c r="B24">
        <v>101325</v>
      </c>
      <c r="C24" s="3">
        <v>0.36219381745047696</v>
      </c>
      <c r="D24" s="3">
        <v>0.20921670178270976</v>
      </c>
      <c r="E24" s="3">
        <v>0.42858948076681325</v>
      </c>
      <c r="F24" s="3">
        <v>0.51900000000000002</v>
      </c>
      <c r="G24" s="3">
        <f t="shared" si="0"/>
        <v>747.83861671469754</v>
      </c>
      <c r="H24" s="3">
        <v>0.74783861671469753</v>
      </c>
    </row>
    <row r="25" spans="1:8" x14ac:dyDescent="0.3">
      <c r="A25">
        <v>298.14999999999998</v>
      </c>
      <c r="B25">
        <v>101325</v>
      </c>
      <c r="C25" s="3">
        <v>0.3951827594026478</v>
      </c>
      <c r="D25" s="3">
        <v>0.32713380387614921</v>
      </c>
      <c r="E25" s="3">
        <v>0.27768343672120294</v>
      </c>
      <c r="F25" s="3">
        <v>0.437</v>
      </c>
      <c r="G25" s="3">
        <f t="shared" si="0"/>
        <v>753.44827586206895</v>
      </c>
      <c r="H25" s="3">
        <v>0.75344827586206897</v>
      </c>
    </row>
    <row r="26" spans="1:8" x14ac:dyDescent="0.3">
      <c r="A26">
        <v>298.14999999999998</v>
      </c>
      <c r="B26">
        <v>101325</v>
      </c>
      <c r="C26" s="3">
        <v>0.37444909346578298</v>
      </c>
      <c r="D26" s="3">
        <v>0.42222121736125107</v>
      </c>
      <c r="E26" s="3">
        <v>0.20332968917296604</v>
      </c>
      <c r="F26" s="3">
        <v>0.41799999999999998</v>
      </c>
      <c r="G26" s="3">
        <f t="shared" si="0"/>
        <v>764.16819012797066</v>
      </c>
      <c r="H26" s="3">
        <v>0.76416819012797066</v>
      </c>
    </row>
    <row r="27" spans="1:8" x14ac:dyDescent="0.3">
      <c r="A27">
        <v>298.14999999999998</v>
      </c>
      <c r="B27">
        <v>101325</v>
      </c>
      <c r="C27" s="3">
        <v>0.37109585101258658</v>
      </c>
      <c r="D27" s="3">
        <v>0.52389673755003052</v>
      </c>
      <c r="E27" s="3">
        <v>0.10500741143738283</v>
      </c>
      <c r="F27" s="3">
        <v>0.39500000000000002</v>
      </c>
      <c r="G27" s="3">
        <f t="shared" si="0"/>
        <v>771.484375</v>
      </c>
      <c r="H27" s="3">
        <v>0.771484375</v>
      </c>
    </row>
    <row r="28" spans="1:8" x14ac:dyDescent="0.3">
      <c r="A28">
        <v>298.14999999999998</v>
      </c>
      <c r="B28">
        <v>101325</v>
      </c>
      <c r="C28" s="3">
        <v>0.48069804026678903</v>
      </c>
      <c r="D28" s="3">
        <v>0.10063453428853594</v>
      </c>
      <c r="E28" s="3">
        <v>0.41866742544467511</v>
      </c>
      <c r="F28" s="3">
        <v>0.48299999999999998</v>
      </c>
      <c r="G28" s="3">
        <f t="shared" si="0"/>
        <v>719.82116244411327</v>
      </c>
      <c r="H28" s="3">
        <v>0.71982116244411321</v>
      </c>
    </row>
    <row r="29" spans="1:8" x14ac:dyDescent="0.3">
      <c r="A29">
        <v>298.14999999999998</v>
      </c>
      <c r="B29">
        <v>101325</v>
      </c>
      <c r="C29" s="3">
        <v>0.37376103440845471</v>
      </c>
      <c r="D29" s="3">
        <v>0.21492704082699157</v>
      </c>
      <c r="E29" s="3">
        <v>0.4113119247645538</v>
      </c>
      <c r="F29" s="3">
        <v>0.50700000000000001</v>
      </c>
      <c r="G29" s="3">
        <f t="shared" si="0"/>
        <v>746.68630338733431</v>
      </c>
      <c r="H29" s="3">
        <v>0.74668630338733433</v>
      </c>
    </row>
    <row r="30" spans="1:8" x14ac:dyDescent="0.3">
      <c r="A30">
        <v>298.14999999999998</v>
      </c>
      <c r="B30">
        <v>101325</v>
      </c>
      <c r="C30" s="3">
        <v>0.37649824474338422</v>
      </c>
      <c r="D30" s="3">
        <v>0.3194278902626963</v>
      </c>
      <c r="E30" s="3">
        <v>0.30407386499391947</v>
      </c>
      <c r="F30" s="3">
        <v>0.45200000000000001</v>
      </c>
      <c r="G30" s="3">
        <f t="shared" si="0"/>
        <v>754.59098497495836</v>
      </c>
      <c r="H30" s="3">
        <v>0.75459098497495836</v>
      </c>
    </row>
    <row r="31" spans="1:8" x14ac:dyDescent="0.3">
      <c r="A31">
        <v>298.14999999999998</v>
      </c>
      <c r="B31">
        <v>101325</v>
      </c>
      <c r="C31" s="3">
        <v>0.3744100543606127</v>
      </c>
      <c r="D31" s="3">
        <v>0.4215844864587448</v>
      </c>
      <c r="E31" s="3">
        <v>0.20400545918064264</v>
      </c>
      <c r="F31" s="3">
        <v>0.41799999999999998</v>
      </c>
      <c r="G31" s="3">
        <f t="shared" si="0"/>
        <v>762.77372262773713</v>
      </c>
      <c r="H31" s="3">
        <v>0.76277372262773713</v>
      </c>
    </row>
    <row r="32" spans="1:8" x14ac:dyDescent="0.3">
      <c r="A32">
        <v>298.14999999999998</v>
      </c>
      <c r="B32">
        <v>101325</v>
      </c>
      <c r="C32" s="3">
        <v>0.37293334553561597</v>
      </c>
      <c r="D32" s="3">
        <v>0.52391806390217932</v>
      </c>
      <c r="E32" s="3">
        <v>0.10314859056220466</v>
      </c>
      <c r="F32" s="3">
        <v>0.39400000000000002</v>
      </c>
      <c r="G32" s="3">
        <f t="shared" si="0"/>
        <v>771.03718199608625</v>
      </c>
      <c r="H32" s="3">
        <v>0.77103718199608617</v>
      </c>
    </row>
    <row r="33" spans="1:8" x14ac:dyDescent="0.3">
      <c r="A33">
        <v>298.14999999999998</v>
      </c>
      <c r="B33">
        <v>101325</v>
      </c>
      <c r="C33" s="3">
        <v>0.47700761386593343</v>
      </c>
      <c r="D33" s="3">
        <v>0.10348855701588008</v>
      </c>
      <c r="E33" s="3">
        <v>0.41950382911818646</v>
      </c>
      <c r="F33" s="3">
        <v>0.48399999999999999</v>
      </c>
      <c r="G33" s="3">
        <f t="shared" si="0"/>
        <v>720.23809523809507</v>
      </c>
      <c r="H33" s="3">
        <v>0.72023809523809512</v>
      </c>
    </row>
    <row r="34" spans="1:8" x14ac:dyDescent="0.3">
      <c r="A34">
        <v>298.14999999999998</v>
      </c>
      <c r="B34">
        <v>101325</v>
      </c>
      <c r="C34" s="3">
        <v>0.48273456200077564</v>
      </c>
      <c r="D34" s="3">
        <v>0.21276944919593213</v>
      </c>
      <c r="E34" s="3">
        <v>0.30449598880329221</v>
      </c>
      <c r="F34" s="3">
        <v>0.42499999999999999</v>
      </c>
      <c r="G34" s="3">
        <f t="shared" si="0"/>
        <v>730.24054982817881</v>
      </c>
      <c r="H34" s="3">
        <v>0.73024054982817876</v>
      </c>
    </row>
    <row r="35" spans="1:8" x14ac:dyDescent="0.3">
      <c r="A35">
        <v>298.14999999999998</v>
      </c>
      <c r="B35">
        <v>101325</v>
      </c>
      <c r="C35" s="3">
        <v>0.47217500438660348</v>
      </c>
      <c r="D35" s="3">
        <v>0.31802903927394777</v>
      </c>
      <c r="E35" s="3">
        <v>0.20979595633944875</v>
      </c>
      <c r="F35" s="3">
        <v>0.39900000000000002</v>
      </c>
      <c r="G35" s="3">
        <f t="shared" si="0"/>
        <v>741.63568773234203</v>
      </c>
      <c r="H35" s="3">
        <v>0.74163568773234201</v>
      </c>
    </row>
    <row r="36" spans="1:8" x14ac:dyDescent="0.3">
      <c r="A36">
        <v>298.14999999999998</v>
      </c>
      <c r="B36">
        <v>101325</v>
      </c>
      <c r="C36" s="3">
        <v>0.47504235480333062</v>
      </c>
      <c r="D36" s="3">
        <v>0.41865895794882318</v>
      </c>
      <c r="E36" s="3">
        <v>0.10629868724784615</v>
      </c>
      <c r="F36" s="3">
        <v>0.375</v>
      </c>
      <c r="G36" s="3">
        <f t="shared" si="0"/>
        <v>748.50299401197606</v>
      </c>
      <c r="H36" s="3">
        <v>0.74850299401197606</v>
      </c>
    </row>
    <row r="37" spans="1:8" x14ac:dyDescent="0.3">
      <c r="A37">
        <v>298.14999999999998</v>
      </c>
      <c r="B37">
        <v>101325</v>
      </c>
      <c r="C37" s="3">
        <v>0.5754978738167188</v>
      </c>
      <c r="D37" s="3">
        <v>0.11002173994218759</v>
      </c>
      <c r="E37" s="3">
        <v>0.31448038624109365</v>
      </c>
      <c r="F37" s="3">
        <v>0.41299999999999998</v>
      </c>
      <c r="G37" s="3">
        <f t="shared" si="0"/>
        <v>709.62199312714779</v>
      </c>
      <c r="H37" s="3">
        <v>0.7096219931271478</v>
      </c>
    </row>
    <row r="38" spans="1:8" x14ac:dyDescent="0.3">
      <c r="A38">
        <v>298.14999999999998</v>
      </c>
      <c r="B38">
        <v>101325</v>
      </c>
      <c r="C38" s="3">
        <v>0.57703420498427582</v>
      </c>
      <c r="D38" s="3">
        <v>0.20914958977861292</v>
      </c>
      <c r="E38" s="3">
        <v>0.21381620523711128</v>
      </c>
      <c r="F38" s="3">
        <v>0.376</v>
      </c>
      <c r="G38" s="3">
        <f t="shared" si="0"/>
        <v>716.19047619047615</v>
      </c>
      <c r="H38" s="3">
        <v>0.71619047619047616</v>
      </c>
    </row>
    <row r="39" spans="1:8" x14ac:dyDescent="0.3">
      <c r="A39">
        <v>298.14999999999998</v>
      </c>
      <c r="B39">
        <v>101325</v>
      </c>
      <c r="C39" s="3">
        <v>0.56868948218145132</v>
      </c>
      <c r="D39" s="3">
        <v>0.32309413157464628</v>
      </c>
      <c r="E39" s="3">
        <v>0.10821638624390256</v>
      </c>
      <c r="F39" s="3">
        <v>0.35499999999999998</v>
      </c>
      <c r="G39" s="3">
        <f t="shared" si="0"/>
        <v>730.45267489711932</v>
      </c>
      <c r="H39" s="3">
        <v>0.73045267489711929</v>
      </c>
    </row>
    <row r="40" spans="1:8" x14ac:dyDescent="0.3">
      <c r="A40">
        <v>298.14999999999998</v>
      </c>
      <c r="B40">
        <v>101325</v>
      </c>
      <c r="C40" s="3">
        <v>0.67128568630614327</v>
      </c>
      <c r="D40" s="3">
        <v>0.11290330507609447</v>
      </c>
      <c r="E40" s="3">
        <v>0.21581100861776234</v>
      </c>
      <c r="F40" s="3">
        <v>0.36099999999999999</v>
      </c>
      <c r="G40" s="3">
        <f t="shared" si="0"/>
        <v>696.91119691119684</v>
      </c>
      <c r="H40" s="3">
        <v>0.69691119691119685</v>
      </c>
    </row>
    <row r="41" spans="1:8" x14ac:dyDescent="0.3">
      <c r="A41">
        <v>298.14999999999998</v>
      </c>
      <c r="B41">
        <v>101325</v>
      </c>
      <c r="C41" s="3">
        <v>0.66871059439121394</v>
      </c>
      <c r="D41" s="3">
        <v>0.22278486994822541</v>
      </c>
      <c r="E41" s="3">
        <v>0.10850453566056061</v>
      </c>
      <c r="F41" s="3">
        <v>0.33900000000000002</v>
      </c>
      <c r="G41" s="3">
        <f t="shared" si="0"/>
        <v>707.72442588726528</v>
      </c>
      <c r="H41" s="3">
        <v>0.70772442588726525</v>
      </c>
    </row>
    <row r="42" spans="1:8" x14ac:dyDescent="0.3">
      <c r="A42">
        <v>298.14999999999998</v>
      </c>
      <c r="B42">
        <v>101325</v>
      </c>
      <c r="C42" s="3">
        <v>0.7849744719420968</v>
      </c>
      <c r="D42" s="3">
        <v>0.10349887254042869</v>
      </c>
      <c r="E42" s="3">
        <v>0.11152665551747448</v>
      </c>
      <c r="F42" s="3">
        <v>0.32500000000000001</v>
      </c>
      <c r="G42" s="3">
        <f t="shared" si="0"/>
        <v>685.65400843881855</v>
      </c>
      <c r="H42" s="3">
        <v>0.68565400843881863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85E1-3D1F-422D-A5A7-B38B46F8325F}">
  <dimension ref="A1:G42"/>
  <sheetViews>
    <sheetView workbookViewId="0">
      <selection activeCell="C2" sqref="C2:G42"/>
    </sheetView>
  </sheetViews>
  <sheetFormatPr baseColWidth="10" defaultRowHeight="15.6" x14ac:dyDescent="0.3"/>
  <cols>
    <col min="3" max="5" width="11.296875" bestFit="1" customWidth="1"/>
    <col min="6" max="6" width="11.3984375" bestFit="1" customWidth="1"/>
    <col min="7" max="7" width="10.59765625" customWidth="1"/>
  </cols>
  <sheetData>
    <row r="1" spans="1:7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36</v>
      </c>
      <c r="G1" t="s">
        <v>35</v>
      </c>
    </row>
    <row r="2" spans="1:7" x14ac:dyDescent="0.3">
      <c r="A2">
        <v>298.14999999999998</v>
      </c>
      <c r="B2">
        <v>101325</v>
      </c>
      <c r="C2" s="3">
        <v>9.0337083680496935E-2</v>
      </c>
      <c r="D2" s="3">
        <v>0.10189975918678758</v>
      </c>
      <c r="E2" s="3">
        <v>0.80776315713271551</v>
      </c>
      <c r="F2" s="3">
        <v>787.71331058020462</v>
      </c>
      <c r="G2" s="3">
        <v>0.78771331058020466</v>
      </c>
    </row>
    <row r="3" spans="1:7" x14ac:dyDescent="0.3">
      <c r="A3">
        <v>298.14999999999998</v>
      </c>
      <c r="B3">
        <v>101325</v>
      </c>
      <c r="C3" s="3">
        <v>8.4394276235227203E-2</v>
      </c>
      <c r="D3" s="3">
        <v>0.20583652533137697</v>
      </c>
      <c r="E3" s="3">
        <v>0.70976919843339592</v>
      </c>
      <c r="F3" s="3">
        <v>798.15745393634847</v>
      </c>
      <c r="G3" s="3">
        <v>0.7981574539363484</v>
      </c>
    </row>
    <row r="4" spans="1:7" x14ac:dyDescent="0.3">
      <c r="A4">
        <v>298.14999999999998</v>
      </c>
      <c r="B4">
        <v>101325</v>
      </c>
      <c r="C4" s="3">
        <v>8.7502818115400297E-2</v>
      </c>
      <c r="D4" s="3">
        <v>0.29734893863238931</v>
      </c>
      <c r="E4" s="3">
        <v>0.6151482432522104</v>
      </c>
      <c r="F4" s="3">
        <v>805.36246276067538</v>
      </c>
      <c r="G4" s="3">
        <v>0.80536246276067536</v>
      </c>
    </row>
    <row r="5" spans="1:7" x14ac:dyDescent="0.3">
      <c r="A5">
        <v>298.14999999999998</v>
      </c>
      <c r="B5">
        <v>101325</v>
      </c>
      <c r="C5" s="3">
        <v>8.2224793666190885E-2</v>
      </c>
      <c r="D5" s="3">
        <v>0.40187513919504797</v>
      </c>
      <c r="E5" s="3">
        <v>0.51590006713876113</v>
      </c>
      <c r="F5" s="3">
        <v>813.79310344827582</v>
      </c>
      <c r="G5" s="3">
        <v>0.81379310344827582</v>
      </c>
    </row>
    <row r="6" spans="1:7" x14ac:dyDescent="0.3">
      <c r="A6">
        <v>298.14999999999998</v>
      </c>
      <c r="B6">
        <v>101325</v>
      </c>
      <c r="C6" s="3">
        <v>8.8598318447366459E-2</v>
      </c>
      <c r="D6" s="3">
        <v>0.52215587594902124</v>
      </c>
      <c r="E6" s="3">
        <v>0.38924580560361216</v>
      </c>
      <c r="F6" s="3">
        <v>819.40700808625331</v>
      </c>
      <c r="G6" s="3">
        <v>0.81940700808625333</v>
      </c>
    </row>
    <row r="7" spans="1:7" x14ac:dyDescent="0.3">
      <c r="A7">
        <v>298.14999999999998</v>
      </c>
      <c r="B7">
        <v>101325</v>
      </c>
      <c r="C7" s="3">
        <v>9.3084748654992791E-2</v>
      </c>
      <c r="D7" s="3">
        <v>0.6205027330315056</v>
      </c>
      <c r="E7" s="3">
        <v>0.28641251831350162</v>
      </c>
      <c r="F7" s="3">
        <v>824.74226804123714</v>
      </c>
      <c r="G7" s="3">
        <v>0.82474226804123718</v>
      </c>
    </row>
    <row r="8" spans="1:7" x14ac:dyDescent="0.3">
      <c r="A8">
        <v>298.14999999999998</v>
      </c>
      <c r="B8">
        <v>101325</v>
      </c>
      <c r="C8" s="3">
        <v>8.2254003364276393E-2</v>
      </c>
      <c r="D8" s="3">
        <v>0.7136645018216411</v>
      </c>
      <c r="E8" s="3">
        <v>0.20408149481408239</v>
      </c>
      <c r="F8" s="3">
        <v>830.96366508688789</v>
      </c>
      <c r="G8" s="3">
        <v>0.8309636650868879</v>
      </c>
    </row>
    <row r="9" spans="1:7" x14ac:dyDescent="0.3">
      <c r="A9">
        <v>298.14999999999998</v>
      </c>
      <c r="B9">
        <v>101325</v>
      </c>
      <c r="C9" s="3">
        <v>8.5098596144793578E-2</v>
      </c>
      <c r="D9" s="3">
        <v>0.81056376458266266</v>
      </c>
      <c r="E9" s="3">
        <v>0.10433763927254383</v>
      </c>
      <c r="F9" s="3">
        <v>833.89830508474574</v>
      </c>
      <c r="G9" s="3">
        <v>0.83389830508474583</v>
      </c>
    </row>
    <row r="10" spans="1:7" x14ac:dyDescent="0.3">
      <c r="A10">
        <v>298.14999999999998</v>
      </c>
      <c r="B10">
        <v>101325</v>
      </c>
      <c r="C10" s="3">
        <v>0.17587074468117819</v>
      </c>
      <c r="D10" s="3">
        <v>9.9133475437927845E-2</v>
      </c>
      <c r="E10" s="3">
        <v>0.72499577988089403</v>
      </c>
      <c r="F10" s="3">
        <v>770.8161582852432</v>
      </c>
      <c r="G10" s="3">
        <v>0.77081615828524319</v>
      </c>
    </row>
    <row r="11" spans="1:7" x14ac:dyDescent="0.3">
      <c r="A11">
        <v>298.14999999999998</v>
      </c>
      <c r="B11">
        <v>101325</v>
      </c>
      <c r="C11" s="3">
        <v>0.1699733691638512</v>
      </c>
      <c r="D11" s="3">
        <v>0.20679917533980433</v>
      </c>
      <c r="E11" s="3">
        <v>0.62322745549634462</v>
      </c>
      <c r="F11" s="3">
        <v>781.47029204431021</v>
      </c>
      <c r="G11" s="3">
        <v>0.78147029204431018</v>
      </c>
    </row>
    <row r="12" spans="1:7" x14ac:dyDescent="0.3">
      <c r="A12">
        <v>298.14999999999998</v>
      </c>
      <c r="B12">
        <v>101325</v>
      </c>
      <c r="C12" s="3">
        <v>0.17491969101266439</v>
      </c>
      <c r="D12" s="3">
        <v>0.30802142206656141</v>
      </c>
      <c r="E12" s="3">
        <v>0.51705888692077417</v>
      </c>
      <c r="F12" s="3">
        <v>788.84934756820883</v>
      </c>
      <c r="G12" s="3">
        <v>0.78884934756820879</v>
      </c>
    </row>
    <row r="13" spans="1:7" x14ac:dyDescent="0.3">
      <c r="A13">
        <v>298.14999999999998</v>
      </c>
      <c r="B13">
        <v>101325</v>
      </c>
      <c r="C13" s="3">
        <v>0.17399158610469134</v>
      </c>
      <c r="D13" s="3">
        <v>0.4193127240735896</v>
      </c>
      <c r="E13" s="3">
        <v>0.40669568982171894</v>
      </c>
      <c r="F13" s="3">
        <v>796.16963064295487</v>
      </c>
      <c r="G13" s="3">
        <v>0.79616963064295487</v>
      </c>
    </row>
    <row r="14" spans="1:7" x14ac:dyDescent="0.3">
      <c r="A14">
        <v>298.14999999999998</v>
      </c>
      <c r="B14">
        <v>101325</v>
      </c>
      <c r="C14" s="3">
        <v>0.17292202370899953</v>
      </c>
      <c r="D14" s="3">
        <v>0.53444700911623144</v>
      </c>
      <c r="E14" s="3">
        <v>0.29263096717476911</v>
      </c>
      <c r="F14" s="3">
        <v>803.70942812983014</v>
      </c>
      <c r="G14" s="3">
        <v>0.80370942812983004</v>
      </c>
    </row>
    <row r="15" spans="1:7" x14ac:dyDescent="0.3">
      <c r="A15">
        <v>298.14999999999998</v>
      </c>
      <c r="B15">
        <v>101325</v>
      </c>
      <c r="C15" s="3">
        <v>0.18092238439765113</v>
      </c>
      <c r="D15" s="3">
        <v>0.61567785533961028</v>
      </c>
      <c r="E15" s="3">
        <v>0.20339976026273865</v>
      </c>
      <c r="F15" s="3">
        <v>808.08080808080808</v>
      </c>
      <c r="G15" s="3">
        <v>0.80808080808080807</v>
      </c>
    </row>
    <row r="16" spans="1:7" x14ac:dyDescent="0.3">
      <c r="A16">
        <v>298.14999999999998</v>
      </c>
      <c r="B16">
        <v>101325</v>
      </c>
      <c r="C16" s="3">
        <v>0.17141672654501505</v>
      </c>
      <c r="D16" s="3">
        <v>0.72610796979311687</v>
      </c>
      <c r="E16" s="3">
        <v>0.10247530366186805</v>
      </c>
      <c r="F16" s="3">
        <v>815.08078994614004</v>
      </c>
      <c r="G16" s="3">
        <v>0.81508078994613997</v>
      </c>
    </row>
    <row r="17" spans="1:7" x14ac:dyDescent="0.3">
      <c r="A17">
        <v>298.14999999999998</v>
      </c>
      <c r="B17">
        <v>101325</v>
      </c>
      <c r="C17" s="3">
        <v>0.2652362603797162</v>
      </c>
      <c r="D17" s="3">
        <v>0.1026031310565948</v>
      </c>
      <c r="E17" s="3">
        <v>0.63216060856368905</v>
      </c>
      <c r="F17" s="3">
        <v>754.0322580645161</v>
      </c>
      <c r="G17" s="3">
        <v>0.75403225806451613</v>
      </c>
    </row>
    <row r="18" spans="1:7" x14ac:dyDescent="0.3">
      <c r="A18">
        <v>298.14999999999998</v>
      </c>
      <c r="B18">
        <v>101325</v>
      </c>
      <c r="C18" s="3">
        <v>0.26624353728611216</v>
      </c>
      <c r="D18" s="3">
        <v>0.20520817913531805</v>
      </c>
      <c r="E18" s="3">
        <v>0.52854828357856976</v>
      </c>
      <c r="F18" s="3">
        <v>763.92251815980637</v>
      </c>
      <c r="G18" s="3">
        <v>0.76392251815980639</v>
      </c>
    </row>
    <row r="19" spans="1:7" x14ac:dyDescent="0.3">
      <c r="A19">
        <v>298.14999999999998</v>
      </c>
      <c r="B19">
        <v>101325</v>
      </c>
      <c r="C19" s="3">
        <v>0.25632003873072762</v>
      </c>
      <c r="D19" s="3">
        <v>0.3124736543318824</v>
      </c>
      <c r="E19" s="3">
        <v>0.43120630693739015</v>
      </c>
      <c r="F19" s="3">
        <v>773.79310344827604</v>
      </c>
      <c r="G19" s="3">
        <v>0.77379310344827601</v>
      </c>
    </row>
    <row r="20" spans="1:7" x14ac:dyDescent="0.3">
      <c r="A20">
        <v>298.14999999999998</v>
      </c>
      <c r="B20">
        <v>101325</v>
      </c>
      <c r="C20" s="3">
        <v>0.26562549677570718</v>
      </c>
      <c r="D20" s="3">
        <v>0.43398937364746559</v>
      </c>
      <c r="E20" s="3">
        <v>0.30038512957682717</v>
      </c>
      <c r="F20" s="3">
        <v>782.05128205128199</v>
      </c>
      <c r="G20" s="3">
        <v>0.78205128205128205</v>
      </c>
    </row>
    <row r="21" spans="1:7" x14ac:dyDescent="0.3">
      <c r="A21">
        <v>298.14999999999998</v>
      </c>
      <c r="B21">
        <v>101325</v>
      </c>
      <c r="C21" s="3">
        <v>0.26354134376871896</v>
      </c>
      <c r="D21" s="3">
        <v>0.52957821789412685</v>
      </c>
      <c r="E21" s="3">
        <v>0.20688043833715422</v>
      </c>
      <c r="F21" s="3">
        <v>788.46153846153857</v>
      </c>
      <c r="G21" s="3">
        <v>0.78846153846153855</v>
      </c>
    </row>
    <row r="22" spans="1:7" x14ac:dyDescent="0.3">
      <c r="A22">
        <v>298.14999999999998</v>
      </c>
      <c r="B22">
        <v>101325</v>
      </c>
      <c r="C22" s="3">
        <v>0.261563302899677</v>
      </c>
      <c r="D22" s="3">
        <v>0.63449302170306243</v>
      </c>
      <c r="E22" s="3">
        <v>0.10394367539726068</v>
      </c>
      <c r="F22" s="3">
        <v>795.11278195488705</v>
      </c>
      <c r="G22" s="3">
        <v>0.7951127819548871</v>
      </c>
    </row>
    <row r="23" spans="1:7" x14ac:dyDescent="0.3">
      <c r="A23">
        <v>298.14999999999998</v>
      </c>
      <c r="B23">
        <v>101325</v>
      </c>
      <c r="C23" s="3">
        <v>0.36847684312257067</v>
      </c>
      <c r="D23" s="3">
        <v>0.10588887139718302</v>
      </c>
      <c r="E23" s="3">
        <v>0.52563428548024627</v>
      </c>
      <c r="F23" s="3">
        <v>736.6459627329192</v>
      </c>
      <c r="G23" s="3">
        <v>0.73664596273291916</v>
      </c>
    </row>
    <row r="24" spans="1:7" x14ac:dyDescent="0.3">
      <c r="A24">
        <v>298.14999999999998</v>
      </c>
      <c r="B24">
        <v>101325</v>
      </c>
      <c r="C24" s="3">
        <v>0.36219381745047696</v>
      </c>
      <c r="D24" s="3">
        <v>0.20921670178270976</v>
      </c>
      <c r="E24" s="3">
        <v>0.42858948076681325</v>
      </c>
      <c r="F24" s="3">
        <v>747.83861671469754</v>
      </c>
      <c r="G24" s="3">
        <v>0.74783861671469753</v>
      </c>
    </row>
    <row r="25" spans="1:7" x14ac:dyDescent="0.3">
      <c r="A25">
        <v>298.14999999999998</v>
      </c>
      <c r="B25">
        <v>101325</v>
      </c>
      <c r="C25" s="3">
        <v>0.3951827594026478</v>
      </c>
      <c r="D25" s="3">
        <v>0.32713380387614921</v>
      </c>
      <c r="E25" s="3">
        <v>0.27768343672120294</v>
      </c>
      <c r="F25" s="3">
        <v>753.44827586206895</v>
      </c>
      <c r="G25" s="3">
        <v>0.75344827586206897</v>
      </c>
    </row>
    <row r="26" spans="1:7" x14ac:dyDescent="0.3">
      <c r="A26">
        <v>298.14999999999998</v>
      </c>
      <c r="B26">
        <v>101325</v>
      </c>
      <c r="C26" s="3">
        <v>0.37444909346578298</v>
      </c>
      <c r="D26" s="3">
        <v>0.42222121736125107</v>
      </c>
      <c r="E26" s="3">
        <v>0.20332968917296604</v>
      </c>
      <c r="F26" s="3">
        <v>764.16819012797066</v>
      </c>
      <c r="G26" s="3">
        <v>0.76416819012797066</v>
      </c>
    </row>
    <row r="27" spans="1:7" x14ac:dyDescent="0.3">
      <c r="A27">
        <v>298.14999999999998</v>
      </c>
      <c r="B27">
        <v>101325</v>
      </c>
      <c r="C27" s="3">
        <v>0.37109585101258658</v>
      </c>
      <c r="D27" s="3">
        <v>0.52389673755003052</v>
      </c>
      <c r="E27" s="3">
        <v>0.10500741143738283</v>
      </c>
      <c r="F27" s="3">
        <v>771.484375</v>
      </c>
      <c r="G27" s="3">
        <v>0.771484375</v>
      </c>
    </row>
    <row r="28" spans="1:7" x14ac:dyDescent="0.3">
      <c r="A28">
        <v>298.14999999999998</v>
      </c>
      <c r="B28">
        <v>101325</v>
      </c>
      <c r="C28" s="3">
        <v>0.48069804026678903</v>
      </c>
      <c r="D28" s="3">
        <v>0.10063453428853594</v>
      </c>
      <c r="E28" s="3">
        <v>0.41866742544467511</v>
      </c>
      <c r="F28" s="3">
        <v>719.82116244411327</v>
      </c>
      <c r="G28" s="3">
        <v>0.71982116244411321</v>
      </c>
    </row>
    <row r="29" spans="1:7" x14ac:dyDescent="0.3">
      <c r="A29">
        <v>298.14999999999998</v>
      </c>
      <c r="B29">
        <v>101325</v>
      </c>
      <c r="C29" s="3">
        <v>0.37376103440845471</v>
      </c>
      <c r="D29" s="3">
        <v>0.21492704082699157</v>
      </c>
      <c r="E29" s="3">
        <v>0.4113119247645538</v>
      </c>
      <c r="F29" s="3">
        <v>746.68630338733431</v>
      </c>
      <c r="G29" s="3">
        <v>0.74668630338733433</v>
      </c>
    </row>
    <row r="30" spans="1:7" x14ac:dyDescent="0.3">
      <c r="A30">
        <v>298.14999999999998</v>
      </c>
      <c r="B30">
        <v>101325</v>
      </c>
      <c r="C30" s="3">
        <v>0.37649824474338422</v>
      </c>
      <c r="D30" s="3">
        <v>0.3194278902626963</v>
      </c>
      <c r="E30" s="3">
        <v>0.30407386499391947</v>
      </c>
      <c r="F30" s="3">
        <v>754.59098497495836</v>
      </c>
      <c r="G30" s="3">
        <v>0.75459098497495836</v>
      </c>
    </row>
    <row r="31" spans="1:7" x14ac:dyDescent="0.3">
      <c r="A31">
        <v>298.14999999999998</v>
      </c>
      <c r="B31">
        <v>101325</v>
      </c>
      <c r="C31" s="3">
        <v>0.3744100543606127</v>
      </c>
      <c r="D31" s="3">
        <v>0.4215844864587448</v>
      </c>
      <c r="E31" s="3">
        <v>0.20400545918064264</v>
      </c>
      <c r="F31" s="3">
        <v>762.77372262773713</v>
      </c>
      <c r="G31" s="3">
        <v>0.76277372262773713</v>
      </c>
    </row>
    <row r="32" spans="1:7" x14ac:dyDescent="0.3">
      <c r="A32">
        <v>298.14999999999998</v>
      </c>
      <c r="B32">
        <v>101325</v>
      </c>
      <c r="C32" s="3">
        <v>0.37293334553561597</v>
      </c>
      <c r="D32" s="3">
        <v>0.52391806390217932</v>
      </c>
      <c r="E32" s="3">
        <v>0.10314859056220466</v>
      </c>
      <c r="F32" s="3">
        <v>771.03718199608625</v>
      </c>
      <c r="G32" s="3">
        <v>0.77103718199608617</v>
      </c>
    </row>
    <row r="33" spans="1:7" x14ac:dyDescent="0.3">
      <c r="A33">
        <v>298.14999999999998</v>
      </c>
      <c r="B33">
        <v>101325</v>
      </c>
      <c r="C33" s="3">
        <v>0.47700761386593343</v>
      </c>
      <c r="D33" s="3">
        <v>0.10348855701588008</v>
      </c>
      <c r="E33" s="3">
        <v>0.41950382911818646</v>
      </c>
      <c r="F33" s="3">
        <v>720.23809523809507</v>
      </c>
      <c r="G33" s="3">
        <v>0.72023809523809512</v>
      </c>
    </row>
    <row r="34" spans="1:7" x14ac:dyDescent="0.3">
      <c r="A34">
        <v>298.14999999999998</v>
      </c>
      <c r="B34">
        <v>101325</v>
      </c>
      <c r="C34" s="3">
        <v>0.48273456200077564</v>
      </c>
      <c r="D34" s="3">
        <v>0.21276944919593213</v>
      </c>
      <c r="E34" s="3">
        <v>0.30449598880329221</v>
      </c>
      <c r="F34" s="3">
        <v>730.24054982817881</v>
      </c>
      <c r="G34" s="3">
        <v>0.73024054982817876</v>
      </c>
    </row>
    <row r="35" spans="1:7" x14ac:dyDescent="0.3">
      <c r="A35">
        <v>298.14999999999998</v>
      </c>
      <c r="B35">
        <v>101325</v>
      </c>
      <c r="C35" s="3">
        <v>0.47217500438660348</v>
      </c>
      <c r="D35" s="3">
        <v>0.31802903927394777</v>
      </c>
      <c r="E35" s="3">
        <v>0.20979595633944875</v>
      </c>
      <c r="F35" s="3">
        <v>741.63568773234203</v>
      </c>
      <c r="G35" s="3">
        <v>0.74163568773234201</v>
      </c>
    </row>
    <row r="36" spans="1:7" x14ac:dyDescent="0.3">
      <c r="A36">
        <v>298.14999999999998</v>
      </c>
      <c r="B36">
        <v>101325</v>
      </c>
      <c r="C36" s="3">
        <v>0.47504235480333062</v>
      </c>
      <c r="D36" s="3">
        <v>0.41865895794882318</v>
      </c>
      <c r="E36" s="3">
        <v>0.10629868724784615</v>
      </c>
      <c r="F36" s="3">
        <v>748.50299401197606</v>
      </c>
      <c r="G36" s="3">
        <v>0.74850299401197606</v>
      </c>
    </row>
    <row r="37" spans="1:7" x14ac:dyDescent="0.3">
      <c r="A37">
        <v>298.14999999999998</v>
      </c>
      <c r="B37">
        <v>101325</v>
      </c>
      <c r="C37" s="3">
        <v>0.5754978738167188</v>
      </c>
      <c r="D37" s="3">
        <v>0.11002173994218759</v>
      </c>
      <c r="E37" s="3">
        <v>0.31448038624109365</v>
      </c>
      <c r="F37" s="3">
        <v>709.62199312714779</v>
      </c>
      <c r="G37" s="3">
        <v>0.7096219931271478</v>
      </c>
    </row>
    <row r="38" spans="1:7" x14ac:dyDescent="0.3">
      <c r="A38">
        <v>298.14999999999998</v>
      </c>
      <c r="B38">
        <v>101325</v>
      </c>
      <c r="C38" s="3">
        <v>0.57703420498427582</v>
      </c>
      <c r="D38" s="3">
        <v>0.20914958977861292</v>
      </c>
      <c r="E38" s="3">
        <v>0.21381620523711128</v>
      </c>
      <c r="F38" s="3">
        <v>716.19047619047615</v>
      </c>
      <c r="G38" s="3">
        <v>0.71619047619047616</v>
      </c>
    </row>
    <row r="39" spans="1:7" x14ac:dyDescent="0.3">
      <c r="A39">
        <v>298.14999999999998</v>
      </c>
      <c r="B39">
        <v>101325</v>
      </c>
      <c r="C39" s="3">
        <v>0.56868948218145132</v>
      </c>
      <c r="D39" s="3">
        <v>0.32309413157464628</v>
      </c>
      <c r="E39" s="3">
        <v>0.10821638624390256</v>
      </c>
      <c r="F39" s="3">
        <v>730.45267489711932</v>
      </c>
      <c r="G39" s="3">
        <v>0.73045267489711929</v>
      </c>
    </row>
    <row r="40" spans="1:7" x14ac:dyDescent="0.3">
      <c r="A40">
        <v>298.14999999999998</v>
      </c>
      <c r="B40">
        <v>101325</v>
      </c>
      <c r="C40" s="3">
        <v>0.67128568630614327</v>
      </c>
      <c r="D40" s="3">
        <v>0.11290330507609447</v>
      </c>
      <c r="E40" s="3">
        <v>0.21581100861776234</v>
      </c>
      <c r="F40" s="3">
        <v>696.91119691119684</v>
      </c>
      <c r="G40" s="3">
        <v>0.69691119691119685</v>
      </c>
    </row>
    <row r="41" spans="1:7" x14ac:dyDescent="0.3">
      <c r="A41">
        <v>298.14999999999998</v>
      </c>
      <c r="B41">
        <v>101325</v>
      </c>
      <c r="C41" s="3">
        <v>0.66871059439121394</v>
      </c>
      <c r="D41" s="3">
        <v>0.22278486994822541</v>
      </c>
      <c r="E41" s="3">
        <v>0.10850453566056061</v>
      </c>
      <c r="F41" s="3">
        <v>707.72442588726528</v>
      </c>
      <c r="G41" s="3">
        <v>0.70772442588726525</v>
      </c>
    </row>
    <row r="42" spans="1:7" x14ac:dyDescent="0.3">
      <c r="A42">
        <v>298.14999999999998</v>
      </c>
      <c r="B42">
        <v>101325</v>
      </c>
      <c r="C42" s="3">
        <v>0.7849744719420968</v>
      </c>
      <c r="D42" s="3">
        <v>0.10349887254042869</v>
      </c>
      <c r="E42" s="3">
        <v>0.11152665551747448</v>
      </c>
      <c r="F42" s="3">
        <v>685.65400843881855</v>
      </c>
      <c r="G42" s="3">
        <v>0.68565400843881863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96DEC-5404-AB4D-BDCC-95E9FA7A9774}">
  <dimension ref="A1:F390"/>
  <sheetViews>
    <sheetView zoomScale="115" zoomScaleNormal="115" workbookViewId="0">
      <selection activeCell="G9" sqref="G9"/>
    </sheetView>
  </sheetViews>
  <sheetFormatPr baseColWidth="10" defaultRowHeight="15.6" x14ac:dyDescent="0.3"/>
  <cols>
    <col min="2" max="2" width="12.19921875" customWidth="1"/>
    <col min="3" max="4" width="16" bestFit="1" customWidth="1"/>
  </cols>
  <sheetData>
    <row r="1" spans="1:6" x14ac:dyDescent="0.3">
      <c r="A1" t="s">
        <v>0</v>
      </c>
      <c r="B1" t="s">
        <v>32</v>
      </c>
      <c r="C1" t="s">
        <v>33</v>
      </c>
      <c r="D1" t="s">
        <v>34</v>
      </c>
      <c r="E1" t="s">
        <v>37</v>
      </c>
    </row>
    <row r="2" spans="1:6" x14ac:dyDescent="0.3">
      <c r="A2" s="1">
        <v>298.14999999999998</v>
      </c>
      <c r="B2" s="1">
        <v>8.5575812222427883E-2</v>
      </c>
      <c r="C2" s="1">
        <v>0.80569639421474515</v>
      </c>
      <c r="D2" s="1">
        <f>1-B2-C2</f>
        <v>0.10872779356282691</v>
      </c>
      <c r="E2" s="2">
        <v>23.44</v>
      </c>
    </row>
    <row r="3" spans="1:6" x14ac:dyDescent="0.3">
      <c r="A3" s="1">
        <v>298.14999999999998</v>
      </c>
      <c r="B3" s="1">
        <v>8.1770992458968975E-2</v>
      </c>
      <c r="C3" s="1">
        <v>0.70961701101737418</v>
      </c>
      <c r="D3" s="1">
        <f t="shared" ref="D3:D66" si="0">1-B3-C3</f>
        <v>0.20861199652365681</v>
      </c>
      <c r="E3" s="2">
        <v>23.46</v>
      </c>
    </row>
    <row r="4" spans="1:6" x14ac:dyDescent="0.3">
      <c r="A4" s="1">
        <v>298.14999999999998</v>
      </c>
      <c r="B4" s="1">
        <v>8.1139762608058844E-2</v>
      </c>
      <c r="C4" s="1">
        <v>0.61055519887600573</v>
      </c>
      <c r="D4" s="1">
        <f t="shared" si="0"/>
        <v>0.30830503851593538</v>
      </c>
      <c r="E4" s="2">
        <v>23.39</v>
      </c>
    </row>
    <row r="5" spans="1:6" x14ac:dyDescent="0.3">
      <c r="A5" s="1">
        <v>298.14999999999998</v>
      </c>
      <c r="B5" s="1">
        <v>8.5493905511252702E-2</v>
      </c>
      <c r="C5" s="1">
        <v>0.51311938185978245</v>
      </c>
      <c r="D5" s="1">
        <f t="shared" si="0"/>
        <v>0.40138671262896486</v>
      </c>
      <c r="E5" s="2">
        <v>22.87</v>
      </c>
    </row>
    <row r="6" spans="1:6" x14ac:dyDescent="0.3">
      <c r="A6" s="1">
        <v>298.14999999999998</v>
      </c>
      <c r="B6" s="1">
        <v>8.8554865060627888E-2</v>
      </c>
      <c r="C6" s="1">
        <v>0.41268406547978254</v>
      </c>
      <c r="D6" s="1">
        <f t="shared" si="0"/>
        <v>0.49876106945958953</v>
      </c>
      <c r="E6" s="2">
        <v>22.92</v>
      </c>
    </row>
    <row r="7" spans="1:6" x14ac:dyDescent="0.3">
      <c r="A7" s="1">
        <v>298.14999999999998</v>
      </c>
      <c r="B7" s="1">
        <v>8.752440794480662E-2</v>
      </c>
      <c r="C7" s="1">
        <v>0.3021049626501689</v>
      </c>
      <c r="D7" s="1">
        <f t="shared" si="0"/>
        <v>0.6103706294050244</v>
      </c>
      <c r="E7" s="2">
        <v>22.57</v>
      </c>
    </row>
    <row r="8" spans="1:6" x14ac:dyDescent="0.3">
      <c r="A8" s="1">
        <v>298.14999999999998</v>
      </c>
      <c r="B8" s="1">
        <v>0.30122601023147583</v>
      </c>
      <c r="C8" s="1">
        <v>0.21886637641545417</v>
      </c>
      <c r="D8" s="1">
        <f t="shared" si="0"/>
        <v>0.47990761335306997</v>
      </c>
      <c r="E8" s="2">
        <v>20.71</v>
      </c>
    </row>
    <row r="9" spans="1:6" x14ac:dyDescent="0.3">
      <c r="A9" s="1">
        <v>298.14999999999998</v>
      </c>
      <c r="B9" s="1">
        <v>0.16156576075682097</v>
      </c>
      <c r="C9" s="1">
        <v>7.6142637250919562E-2</v>
      </c>
      <c r="D9" s="1">
        <f t="shared" si="0"/>
        <v>0.76229160199225954</v>
      </c>
      <c r="E9" s="2">
        <v>21.32</v>
      </c>
    </row>
    <row r="10" spans="1:6" x14ac:dyDescent="0.3">
      <c r="A10" s="1">
        <v>298.14999999999998</v>
      </c>
      <c r="B10" s="1">
        <v>0.27750975042465142</v>
      </c>
      <c r="C10" s="1">
        <v>7.2783929502591674E-2</v>
      </c>
      <c r="D10" s="1">
        <f t="shared" si="0"/>
        <v>0.64970632007275686</v>
      </c>
      <c r="E10" s="2">
        <v>20.45</v>
      </c>
    </row>
    <row r="11" spans="1:6" x14ac:dyDescent="0.3">
      <c r="A11" s="1">
        <v>298.14999999999998</v>
      </c>
      <c r="B11" s="1">
        <v>0.24903985872646445</v>
      </c>
      <c r="C11" s="1">
        <v>0.21876468408943875</v>
      </c>
      <c r="D11" s="1">
        <f t="shared" si="0"/>
        <v>0.53219545718409689</v>
      </c>
      <c r="E11">
        <v>21.13</v>
      </c>
    </row>
    <row r="12" spans="1:6" x14ac:dyDescent="0.3">
      <c r="A12" s="1">
        <v>298.14999999999998</v>
      </c>
      <c r="B12" s="1">
        <v>0.2355565438146732</v>
      </c>
      <c r="C12" s="1">
        <v>0.35612172831122352</v>
      </c>
      <c r="D12" s="1">
        <f t="shared" si="0"/>
        <v>0.40832172787410331</v>
      </c>
      <c r="E12">
        <v>22.22</v>
      </c>
    </row>
    <row r="13" spans="1:6" x14ac:dyDescent="0.3">
      <c r="A13" s="1">
        <v>298.14999999999998</v>
      </c>
      <c r="B13" s="1">
        <v>0.22587427896272858</v>
      </c>
      <c r="C13" s="1">
        <v>0.47067380581440837</v>
      </c>
      <c r="D13" s="1">
        <f t="shared" si="0"/>
        <v>0.30345191522286302</v>
      </c>
      <c r="E13">
        <v>22.68</v>
      </c>
    </row>
    <row r="14" spans="1:6" x14ac:dyDescent="0.3">
      <c r="A14" s="1">
        <v>298.14999999999998</v>
      </c>
      <c r="B14" s="4">
        <v>0.2097511220744491</v>
      </c>
      <c r="C14" s="4">
        <v>0.59151619149456991</v>
      </c>
      <c r="D14" s="4">
        <f t="shared" si="0"/>
        <v>0.19873268643098096</v>
      </c>
      <c r="E14">
        <v>23.06</v>
      </c>
      <c r="F14" s="1"/>
    </row>
    <row r="15" spans="1:6" x14ac:dyDescent="0.3">
      <c r="A15" s="1">
        <v>298.14999999999998</v>
      </c>
      <c r="B15" s="1">
        <v>0.18192324897740036</v>
      </c>
      <c r="C15" s="1">
        <v>0.7091097716508421</v>
      </c>
      <c r="D15" s="1">
        <f t="shared" si="0"/>
        <v>0.10896697937175759</v>
      </c>
      <c r="E15">
        <v>23.55</v>
      </c>
    </row>
    <row r="16" spans="1:6" x14ac:dyDescent="0.3">
      <c r="A16" s="1">
        <v>298.14999999999998</v>
      </c>
      <c r="B16" s="1">
        <v>0.17528839670467278</v>
      </c>
      <c r="C16" s="1">
        <v>0.78155050601505716</v>
      </c>
      <c r="D16" s="1">
        <f t="shared" si="0"/>
        <v>4.3161097280270067E-2</v>
      </c>
      <c r="E16">
        <v>23.84</v>
      </c>
    </row>
    <row r="17" spans="1:5" x14ac:dyDescent="0.3">
      <c r="A17" s="1">
        <v>298.14999999999998</v>
      </c>
      <c r="B17" s="1">
        <v>0.33519472208179651</v>
      </c>
      <c r="C17" s="1">
        <v>0.59168874835215535</v>
      </c>
      <c r="D17" s="1">
        <f t="shared" si="0"/>
        <v>7.3116529566048083E-2</v>
      </c>
      <c r="E17">
        <v>22.24</v>
      </c>
    </row>
    <row r="18" spans="1:5" x14ac:dyDescent="0.3">
      <c r="A18" s="1">
        <v>298.14999999999998</v>
      </c>
      <c r="B18" s="1">
        <v>0.32690803381497974</v>
      </c>
      <c r="C18" s="1">
        <v>0.4556599889888146</v>
      </c>
      <c r="D18" s="1">
        <f t="shared" si="0"/>
        <v>0.21743197719620572</v>
      </c>
      <c r="E18">
        <v>21.99</v>
      </c>
    </row>
    <row r="19" spans="1:5" x14ac:dyDescent="0.3">
      <c r="A19" s="1">
        <v>298.14999999999998</v>
      </c>
      <c r="B19" s="1">
        <v>0.3055794111112482</v>
      </c>
      <c r="C19" s="1">
        <v>0.31721327138844002</v>
      </c>
      <c r="D19" s="1">
        <f t="shared" si="0"/>
        <v>0.37720731750031178</v>
      </c>
      <c r="E19">
        <v>21.74</v>
      </c>
    </row>
    <row r="20" spans="1:5" x14ac:dyDescent="0.3">
      <c r="A20" s="1">
        <v>298.14999999999998</v>
      </c>
      <c r="B20" s="1">
        <v>0.25151177556850596</v>
      </c>
      <c r="C20" s="1">
        <v>0.15364205403275857</v>
      </c>
      <c r="D20" s="1">
        <f t="shared" si="0"/>
        <v>0.59484617039873555</v>
      </c>
      <c r="E20">
        <v>21.41</v>
      </c>
    </row>
    <row r="21" spans="1:5" x14ac:dyDescent="0.3">
      <c r="A21" s="1">
        <v>298.14999999999998</v>
      </c>
      <c r="B21" s="1">
        <v>0.26483525529343749</v>
      </c>
      <c r="C21" s="1">
        <v>8.2902233803896302E-2</v>
      </c>
      <c r="D21" s="1">
        <f t="shared" si="0"/>
        <v>0.65226251090266629</v>
      </c>
      <c r="E21">
        <v>20.85</v>
      </c>
    </row>
    <row r="22" spans="1:5" x14ac:dyDescent="0.3">
      <c r="A22" s="1">
        <v>298.14999999999998</v>
      </c>
      <c r="B22" s="1">
        <v>0.2797208612241957</v>
      </c>
      <c r="C22" s="1">
        <v>1.9928722577606368E-2</v>
      </c>
      <c r="D22" s="1">
        <f t="shared" si="0"/>
        <v>0.70035041619819793</v>
      </c>
      <c r="E22">
        <v>20.55</v>
      </c>
    </row>
    <row r="23" spans="1:5" x14ac:dyDescent="0.3">
      <c r="A23" s="1">
        <v>298.14999999999998</v>
      </c>
      <c r="B23" s="1">
        <v>0.41549708182632455</v>
      </c>
      <c r="C23" s="1">
        <v>5.1337674903557853E-2</v>
      </c>
      <c r="D23" s="1">
        <f t="shared" si="0"/>
        <v>0.53316524327011749</v>
      </c>
      <c r="E23">
        <v>19.940000000000001</v>
      </c>
    </row>
    <row r="24" spans="1:5" x14ac:dyDescent="0.3">
      <c r="A24" s="1">
        <v>298.14999999999998</v>
      </c>
      <c r="B24" s="1">
        <v>0.3872131268589874</v>
      </c>
      <c r="C24" s="1">
        <v>0.24709231727843878</v>
      </c>
      <c r="D24" s="1">
        <f t="shared" si="0"/>
        <v>0.36569455586257388</v>
      </c>
      <c r="E24">
        <v>20.51</v>
      </c>
    </row>
    <row r="25" spans="1:5" x14ac:dyDescent="0.3">
      <c r="A25" s="1">
        <v>298.14999999999998</v>
      </c>
      <c r="B25" s="1">
        <v>0.37429881177260538</v>
      </c>
      <c r="C25" s="1">
        <v>0.40910311431048385</v>
      </c>
      <c r="D25" s="1">
        <f t="shared" si="0"/>
        <v>0.21659807391691077</v>
      </c>
      <c r="E25">
        <v>21.63</v>
      </c>
    </row>
    <row r="26" spans="1:5" x14ac:dyDescent="0.3">
      <c r="A26" s="1">
        <v>298.14999999999998</v>
      </c>
      <c r="B26" s="1">
        <v>0.36937691307539355</v>
      </c>
      <c r="C26" s="1">
        <v>0.52743336894976878</v>
      </c>
      <c r="D26" s="1">
        <f t="shared" si="0"/>
        <v>0.10318971797483767</v>
      </c>
      <c r="E26">
        <v>21.75</v>
      </c>
    </row>
    <row r="27" spans="1:5" x14ac:dyDescent="0.3">
      <c r="A27" s="1">
        <v>298.14999999999998</v>
      </c>
      <c r="B27" s="1">
        <v>0.36598978389520198</v>
      </c>
      <c r="C27" s="1">
        <v>0.59431959312707905</v>
      </c>
      <c r="D27" s="1">
        <f t="shared" si="0"/>
        <v>3.969062297771897E-2</v>
      </c>
      <c r="E27">
        <v>22</v>
      </c>
    </row>
    <row r="28" spans="1:5" x14ac:dyDescent="0.3">
      <c r="A28" s="1">
        <v>298.14999999999998</v>
      </c>
      <c r="B28" s="1">
        <v>0.53064213806879712</v>
      </c>
      <c r="C28" s="1">
        <v>0.40103102613304697</v>
      </c>
      <c r="D28" s="1">
        <f t="shared" si="0"/>
        <v>6.8326835798155905E-2</v>
      </c>
      <c r="E28">
        <v>20.57</v>
      </c>
    </row>
    <row r="29" spans="1:5" x14ac:dyDescent="0.3">
      <c r="A29" s="1">
        <v>298.14999999999998</v>
      </c>
      <c r="B29" s="1">
        <v>0.54241161237237978</v>
      </c>
      <c r="C29" s="1">
        <v>0.22346531278964865</v>
      </c>
      <c r="D29" s="1">
        <f t="shared" si="0"/>
        <v>0.23412307483797157</v>
      </c>
      <c r="E29">
        <v>20.13</v>
      </c>
    </row>
    <row r="30" spans="1:5" x14ac:dyDescent="0.3">
      <c r="A30" s="1">
        <v>298.14999999999998</v>
      </c>
      <c r="B30" s="1">
        <v>0.49849698986159635</v>
      </c>
      <c r="C30" s="1">
        <v>7.9239393019876536E-2</v>
      </c>
      <c r="D30" s="1">
        <f t="shared" si="0"/>
        <v>0.42226361711852717</v>
      </c>
      <c r="E30">
        <v>19.649999999999999</v>
      </c>
    </row>
    <row r="31" spans="1:5" x14ac:dyDescent="0.3">
      <c r="A31" s="1">
        <v>298.14999999999998</v>
      </c>
      <c r="B31" s="1">
        <v>0.48998780422261917</v>
      </c>
      <c r="C31" s="1">
        <v>3.8935113714172729E-3</v>
      </c>
      <c r="D31" s="1">
        <f t="shared" si="0"/>
        <v>0.50611868440596364</v>
      </c>
      <c r="E31">
        <v>19.32</v>
      </c>
    </row>
    <row r="32" spans="1:5" x14ac:dyDescent="0.3">
      <c r="A32" s="1">
        <v>298.14999999999998</v>
      </c>
      <c r="B32" s="1">
        <v>0.68280522095039486</v>
      </c>
      <c r="C32" s="1">
        <v>7.5246117169570942E-2</v>
      </c>
      <c r="D32" s="1">
        <f t="shared" si="0"/>
        <v>0.24194866188003419</v>
      </c>
      <c r="E32">
        <v>18.989999999999998</v>
      </c>
    </row>
    <row r="33" spans="1:5" x14ac:dyDescent="0.3">
      <c r="A33" s="1">
        <v>298.14999999999998</v>
      </c>
      <c r="B33" s="1">
        <v>0.57000244803843092</v>
      </c>
      <c r="C33" s="1">
        <v>0.35872960236815621</v>
      </c>
      <c r="D33" s="1">
        <f t="shared" si="0"/>
        <v>7.1267949593412872E-2</v>
      </c>
      <c r="E33">
        <v>20.36</v>
      </c>
    </row>
    <row r="34" spans="1:5" x14ac:dyDescent="0.3">
      <c r="A34" s="1">
        <v>298.14999999999998</v>
      </c>
      <c r="B34" s="1">
        <v>0.56044178818236101</v>
      </c>
      <c r="C34" s="1">
        <v>0.41049929570865124</v>
      </c>
      <c r="D34" s="1">
        <f t="shared" si="0"/>
        <v>2.9058916108987753E-2</v>
      </c>
      <c r="E34">
        <v>20.29</v>
      </c>
    </row>
    <row r="35" spans="1:5" x14ac:dyDescent="0.3">
      <c r="A35" s="1">
        <v>298.14999999999998</v>
      </c>
      <c r="B35" s="1">
        <v>0.74489755483809861</v>
      </c>
      <c r="C35" s="1">
        <v>0.16616166887534917</v>
      </c>
      <c r="D35" s="1">
        <f t="shared" si="0"/>
        <v>8.8940776286552226E-2</v>
      </c>
      <c r="E35">
        <v>18.89</v>
      </c>
    </row>
    <row r="36" spans="1:5" x14ac:dyDescent="0.3">
      <c r="A36" s="1">
        <v>298.14999999999998</v>
      </c>
      <c r="B36" s="1">
        <v>0.68463919470552359</v>
      </c>
      <c r="C36" s="1">
        <v>3.3977160755127335E-3</v>
      </c>
      <c r="D36" s="1">
        <f t="shared" si="0"/>
        <v>0.31196308921896365</v>
      </c>
      <c r="E36">
        <v>18.55</v>
      </c>
    </row>
    <row r="37" spans="1:5" x14ac:dyDescent="0.3">
      <c r="A37" s="1">
        <v>298.14999999999998</v>
      </c>
      <c r="B37" s="1">
        <v>0.86918080278672283</v>
      </c>
      <c r="C37" s="1">
        <v>0.11275550053040818</v>
      </c>
      <c r="D37" s="1">
        <f t="shared" si="0"/>
        <v>1.8063696682868988E-2</v>
      </c>
      <c r="E37">
        <v>18.62</v>
      </c>
    </row>
    <row r="38" spans="1:5" x14ac:dyDescent="0.3">
      <c r="A38" s="1">
        <v>298.14999999999998</v>
      </c>
      <c r="B38" s="1">
        <v>0.81887502314057203</v>
      </c>
      <c r="C38" s="1">
        <v>0.17431698526492262</v>
      </c>
      <c r="D38" s="1">
        <f t="shared" si="0"/>
        <v>6.8079915945053471E-3</v>
      </c>
      <c r="E38">
        <v>18.97</v>
      </c>
    </row>
    <row r="39" spans="1:5" x14ac:dyDescent="0.3">
      <c r="A39" s="1">
        <v>298.14999999999998</v>
      </c>
      <c r="B39" s="1">
        <v>0.85446033175103364</v>
      </c>
      <c r="C39" s="1">
        <v>2.6226152059294114E-2</v>
      </c>
      <c r="D39" s="1">
        <f t="shared" si="0"/>
        <v>0.11931351618967224</v>
      </c>
      <c r="E39">
        <v>18.25</v>
      </c>
    </row>
    <row r="40" spans="1:5" x14ac:dyDescent="0.3">
      <c r="A40" s="1">
        <v>298.14999999999998</v>
      </c>
      <c r="B40" s="1">
        <v>9.5017424923153154E-2</v>
      </c>
      <c r="C40" s="1">
        <v>0.20734726237161363</v>
      </c>
      <c r="D40" s="1">
        <f t="shared" si="0"/>
        <v>0.69763531270523327</v>
      </c>
      <c r="E40">
        <v>22.59</v>
      </c>
    </row>
    <row r="41" spans="1:5" x14ac:dyDescent="0.3">
      <c r="A41" s="1">
        <v>298.14999999999998</v>
      </c>
      <c r="B41" s="1">
        <v>9.2994055773742729E-2</v>
      </c>
      <c r="C41" s="1">
        <v>0.11024270822375198</v>
      </c>
      <c r="D41" s="1">
        <f t="shared" si="0"/>
        <v>0.7967632360025052</v>
      </c>
      <c r="E41">
        <v>22.2</v>
      </c>
    </row>
    <row r="42" spans="1:5" x14ac:dyDescent="0.3">
      <c r="A42" s="1">
        <v>298.14999999999998</v>
      </c>
      <c r="B42" s="1">
        <v>0.11620500370167065</v>
      </c>
      <c r="C42" s="1">
        <v>0.24245288109453408</v>
      </c>
      <c r="D42" s="1">
        <f t="shared" si="0"/>
        <v>0.64134211520379525</v>
      </c>
      <c r="E42">
        <v>22.63</v>
      </c>
    </row>
    <row r="43" spans="1:5" x14ac:dyDescent="0.3">
      <c r="A43" s="1">
        <v>298.14999999999998</v>
      </c>
      <c r="B43" s="1">
        <v>0.12192489800629119</v>
      </c>
      <c r="C43" s="1">
        <v>0.37514813985084339</v>
      </c>
      <c r="D43" s="1">
        <f t="shared" si="0"/>
        <v>0.50292696214286536</v>
      </c>
      <c r="E43">
        <v>23</v>
      </c>
    </row>
    <row r="44" spans="1:5" x14ac:dyDescent="0.3">
      <c r="A44" s="1">
        <v>298.14999999999998</v>
      </c>
      <c r="B44" s="1">
        <v>0.12784287532194866</v>
      </c>
      <c r="C44" s="1">
        <v>0.45293383530175918</v>
      </c>
      <c r="D44" s="1">
        <f t="shared" si="0"/>
        <v>0.41922328937629211</v>
      </c>
      <c r="E44">
        <v>23.49</v>
      </c>
    </row>
    <row r="45" spans="1:5" x14ac:dyDescent="0.3">
      <c r="A45" s="1">
        <v>298.14999999999998</v>
      </c>
      <c r="B45" s="1">
        <v>0.12698353590267289</v>
      </c>
      <c r="C45" s="1">
        <v>0.6320944781438933</v>
      </c>
      <c r="D45" s="1">
        <f t="shared" si="0"/>
        <v>0.24092198595343384</v>
      </c>
      <c r="E45">
        <v>23.15</v>
      </c>
    </row>
    <row r="46" spans="1:5" x14ac:dyDescent="0.3">
      <c r="A46" s="1">
        <v>298.14999999999998</v>
      </c>
      <c r="B46" s="1">
        <v>0.19854539256066345</v>
      </c>
      <c r="C46" s="1">
        <v>0.50428520771569563</v>
      </c>
      <c r="D46" s="1">
        <f t="shared" si="0"/>
        <v>0.29716939972364087</v>
      </c>
      <c r="E46">
        <v>22.27</v>
      </c>
    </row>
    <row r="47" spans="1:5" x14ac:dyDescent="0.3">
      <c r="A47" s="1">
        <v>298.14999999999998</v>
      </c>
      <c r="B47" s="1">
        <v>0.20574673395269202</v>
      </c>
      <c r="C47" s="1">
        <v>0.41694523532262101</v>
      </c>
      <c r="D47" s="1">
        <f t="shared" si="0"/>
        <v>0.37730803072468694</v>
      </c>
      <c r="E47">
        <v>22.06</v>
      </c>
    </row>
    <row r="48" spans="1:5" x14ac:dyDescent="0.3">
      <c r="A48" s="1">
        <v>298.14999999999998</v>
      </c>
      <c r="B48" s="1">
        <v>0.33183316896582254</v>
      </c>
      <c r="C48" s="1">
        <v>0.15817486996907804</v>
      </c>
      <c r="D48" s="1">
        <f t="shared" si="0"/>
        <v>0.50999196106509948</v>
      </c>
      <c r="E48">
        <v>19.25</v>
      </c>
    </row>
    <row r="49" spans="1:5" x14ac:dyDescent="0.3">
      <c r="A49" s="1">
        <v>298.14999999999998</v>
      </c>
      <c r="B49" s="1">
        <v>0.3842410721658962</v>
      </c>
      <c r="C49" s="1">
        <v>0.29061160652037171</v>
      </c>
      <c r="D49" s="1">
        <f t="shared" si="0"/>
        <v>0.32514732131373209</v>
      </c>
      <c r="E49">
        <v>20.04</v>
      </c>
    </row>
    <row r="50" spans="1:5" x14ac:dyDescent="0.3">
      <c r="A50" s="1">
        <v>298.14999999999998</v>
      </c>
      <c r="B50" s="1">
        <v>0.39268130658601874</v>
      </c>
      <c r="C50" s="1">
        <v>0.3689964163720727</v>
      </c>
      <c r="D50" s="1">
        <f t="shared" si="0"/>
        <v>0.23832227704190856</v>
      </c>
      <c r="E50">
        <v>20.13</v>
      </c>
    </row>
    <row r="51" spans="1:5" x14ac:dyDescent="0.3">
      <c r="A51" s="1">
        <v>298.14999999999998</v>
      </c>
      <c r="B51" s="1">
        <v>0.40603883309464434</v>
      </c>
      <c r="C51" s="1">
        <v>0.44517059002163151</v>
      </c>
      <c r="D51" s="1">
        <f t="shared" si="0"/>
        <v>0.14879057688372421</v>
      </c>
      <c r="E51">
        <v>20.86</v>
      </c>
    </row>
    <row r="52" spans="1:5" x14ac:dyDescent="0.3">
      <c r="A52" s="1">
        <v>298.14999999999998</v>
      </c>
      <c r="B52" s="1">
        <v>0.52528577525925357</v>
      </c>
      <c r="C52" s="1">
        <v>0.28583641804273802</v>
      </c>
      <c r="D52" s="1">
        <f t="shared" si="0"/>
        <v>0.18887780669800841</v>
      </c>
      <c r="E52">
        <v>19.52</v>
      </c>
    </row>
    <row r="53" spans="1:5" x14ac:dyDescent="0.3">
      <c r="A53" s="1">
        <v>298.14999999999998</v>
      </c>
      <c r="B53" s="1">
        <v>0.54718169344938361</v>
      </c>
      <c r="C53" s="1">
        <v>0.18524866080715893</v>
      </c>
      <c r="D53" s="1">
        <f t="shared" si="0"/>
        <v>0.26756964574345743</v>
      </c>
      <c r="E53">
        <v>19.13</v>
      </c>
    </row>
    <row r="54" spans="1:5" x14ac:dyDescent="0.3">
      <c r="A54" s="1">
        <v>298.14999999999998</v>
      </c>
      <c r="B54" s="1">
        <v>0.55913617120706471</v>
      </c>
      <c r="C54" s="1">
        <v>9.9413460729000785E-2</v>
      </c>
      <c r="D54" s="1">
        <f t="shared" si="0"/>
        <v>0.34145036806393447</v>
      </c>
      <c r="E54">
        <v>18.71</v>
      </c>
    </row>
    <row r="55" spans="1:5" x14ac:dyDescent="0.3">
      <c r="A55" s="1">
        <v>298.14999999999998</v>
      </c>
      <c r="B55" s="1">
        <v>8.4516015130793681E-2</v>
      </c>
      <c r="C55" s="1">
        <v>0.80539411805204142</v>
      </c>
      <c r="D55" s="1">
        <f t="shared" si="0"/>
        <v>0.11008986681716493</v>
      </c>
      <c r="E55">
        <v>23.89</v>
      </c>
    </row>
    <row r="56" spans="1:5" x14ac:dyDescent="0.3">
      <c r="A56" s="1">
        <v>298.14999999999998</v>
      </c>
      <c r="B56" s="1">
        <v>8.4507016288307563E-2</v>
      </c>
      <c r="C56" s="1">
        <v>0.7114804166478228</v>
      </c>
      <c r="D56" s="1">
        <f t="shared" si="0"/>
        <v>0.20401256706386961</v>
      </c>
      <c r="E56">
        <v>23.77</v>
      </c>
    </row>
    <row r="57" spans="1:5" x14ac:dyDescent="0.3">
      <c r="A57" s="1">
        <v>298.14999999999998</v>
      </c>
      <c r="B57" s="1">
        <v>9.0720199171259994E-2</v>
      </c>
      <c r="C57" s="1">
        <v>0.61480302766063688</v>
      </c>
      <c r="D57" s="1">
        <f t="shared" si="0"/>
        <v>0.29447677316810317</v>
      </c>
      <c r="E57">
        <v>23.75</v>
      </c>
    </row>
    <row r="58" spans="1:5" x14ac:dyDescent="0.3">
      <c r="A58" s="1">
        <v>298.14999999999998</v>
      </c>
      <c r="B58" s="1">
        <v>8.9768429465725608E-2</v>
      </c>
      <c r="C58" s="1">
        <v>0.51136090822091451</v>
      </c>
      <c r="D58" s="1">
        <f t="shared" si="0"/>
        <v>0.39887066231335988</v>
      </c>
      <c r="E58">
        <v>23.36</v>
      </c>
    </row>
    <row r="59" spans="1:5" x14ac:dyDescent="0.3">
      <c r="A59" s="1">
        <v>298.14999999999998</v>
      </c>
      <c r="B59" s="1">
        <v>9.1348406083711781E-2</v>
      </c>
      <c r="C59" s="1">
        <v>0.391071214067787</v>
      </c>
      <c r="D59" s="1">
        <f t="shared" si="0"/>
        <v>0.51758037984850125</v>
      </c>
      <c r="E59">
        <v>23.04</v>
      </c>
    </row>
    <row r="60" spans="1:5" x14ac:dyDescent="0.3">
      <c r="A60" s="1">
        <v>298.14999999999998</v>
      </c>
      <c r="B60" s="1">
        <v>9.6802361018562808E-2</v>
      </c>
      <c r="C60" s="1">
        <v>0.29583659612618418</v>
      </c>
      <c r="D60" s="1">
        <f t="shared" si="0"/>
        <v>0.60736104285525305</v>
      </c>
      <c r="E60">
        <v>22.84</v>
      </c>
    </row>
    <row r="61" spans="1:5" x14ac:dyDescent="0.3">
      <c r="A61" s="1">
        <v>298.14999999999998</v>
      </c>
      <c r="B61" s="1">
        <v>9.8323866052705849E-2</v>
      </c>
      <c r="C61" s="1">
        <v>0.20195992084213418</v>
      </c>
      <c r="D61" s="1">
        <f t="shared" si="0"/>
        <v>0.69971621310515997</v>
      </c>
      <c r="E61">
        <v>22.34</v>
      </c>
    </row>
    <row r="62" spans="1:5" x14ac:dyDescent="0.3">
      <c r="A62" s="1">
        <v>298.14999999999998</v>
      </c>
      <c r="B62" s="1">
        <v>9.1181711784765862E-2</v>
      </c>
      <c r="C62" s="1">
        <v>0.10021401353150587</v>
      </c>
      <c r="D62" s="1">
        <f t="shared" si="0"/>
        <v>0.80860427468372831</v>
      </c>
      <c r="E62">
        <v>22.06</v>
      </c>
    </row>
    <row r="63" spans="1:5" x14ac:dyDescent="0.3">
      <c r="A63" s="1">
        <v>298.14999999999998</v>
      </c>
      <c r="B63" s="1">
        <v>0.2015870424843888</v>
      </c>
      <c r="C63" s="1">
        <v>9.6502598053787747E-2</v>
      </c>
      <c r="D63" s="1">
        <f t="shared" si="0"/>
        <v>0.70191035946182345</v>
      </c>
      <c r="E63">
        <v>20.97</v>
      </c>
    </row>
    <row r="64" spans="1:5" x14ac:dyDescent="0.3">
      <c r="A64" s="1">
        <v>298.14999999999998</v>
      </c>
      <c r="B64" s="1">
        <v>0.19265617864177328</v>
      </c>
      <c r="C64" s="1">
        <v>0.1946347454385742</v>
      </c>
      <c r="D64" s="1">
        <f t="shared" si="0"/>
        <v>0.61270907591965251</v>
      </c>
      <c r="E64">
        <v>21.38</v>
      </c>
    </row>
    <row r="65" spans="1:5" x14ac:dyDescent="0.3">
      <c r="A65" s="1">
        <v>298.14999999999998</v>
      </c>
      <c r="B65" s="1">
        <v>0.17939701948376752</v>
      </c>
      <c r="C65" s="1">
        <v>0.32087102053258959</v>
      </c>
      <c r="D65" s="1">
        <f t="shared" si="0"/>
        <v>0.49973195998364289</v>
      </c>
      <c r="E65">
        <v>22.02</v>
      </c>
    </row>
    <row r="66" spans="1:5" x14ac:dyDescent="0.3">
      <c r="A66" s="1">
        <v>298.14999999999998</v>
      </c>
      <c r="B66" s="1">
        <v>0.42358276014769219</v>
      </c>
      <c r="C66" s="1">
        <v>0.49551341334658922</v>
      </c>
      <c r="D66" s="1">
        <f t="shared" si="0"/>
        <v>8.0903826505718535E-2</v>
      </c>
      <c r="E66">
        <v>20.91</v>
      </c>
    </row>
    <row r="67" spans="1:5" x14ac:dyDescent="0.3">
      <c r="A67" s="1">
        <v>298.14999999999998</v>
      </c>
      <c r="B67" s="1">
        <v>0.42675786106556191</v>
      </c>
      <c r="C67" s="1">
        <v>0.4008772816802697</v>
      </c>
      <c r="D67" s="1">
        <f t="shared" ref="D67:D79" si="1">1-B67-C67</f>
        <v>0.17236485725416839</v>
      </c>
      <c r="E67">
        <v>20.57</v>
      </c>
    </row>
    <row r="68" spans="1:5" x14ac:dyDescent="0.3">
      <c r="A68" s="1">
        <v>298.14999999999998</v>
      </c>
      <c r="B68" s="1">
        <v>0.42780236892635004</v>
      </c>
      <c r="C68" s="1">
        <v>0.30299676185295665</v>
      </c>
      <c r="D68" s="1">
        <f t="shared" si="1"/>
        <v>0.26920086922069331</v>
      </c>
      <c r="E68">
        <v>20.53</v>
      </c>
    </row>
    <row r="69" spans="1:5" x14ac:dyDescent="0.3">
      <c r="A69" s="1">
        <v>298.14999999999998</v>
      </c>
      <c r="B69" s="1">
        <v>0.43183815624681299</v>
      </c>
      <c r="C69" s="1">
        <v>0.20036292838832501</v>
      </c>
      <c r="D69" s="1">
        <f t="shared" si="1"/>
        <v>0.36779891536486198</v>
      </c>
      <c r="E69">
        <v>20.23</v>
      </c>
    </row>
    <row r="70" spans="1:5" x14ac:dyDescent="0.3">
      <c r="A70" s="1">
        <v>298.14999999999998</v>
      </c>
      <c r="B70" s="1">
        <v>0.42708067773492076</v>
      </c>
      <c r="C70" s="1">
        <v>0.10278292214714861</v>
      </c>
      <c r="D70" s="1">
        <f t="shared" si="1"/>
        <v>0.47013640011793062</v>
      </c>
      <c r="E70">
        <v>20.02</v>
      </c>
    </row>
    <row r="71" spans="1:5" x14ac:dyDescent="0.3">
      <c r="A71" s="1">
        <v>298.14999999999998</v>
      </c>
      <c r="B71" s="1">
        <v>0.48188906600058545</v>
      </c>
      <c r="C71" s="1">
        <v>0.21868274772901233</v>
      </c>
      <c r="D71" s="1">
        <f t="shared" si="1"/>
        <v>0.29942818627040224</v>
      </c>
      <c r="E71">
        <v>19.510000000000002</v>
      </c>
    </row>
    <row r="72" spans="1:5" x14ac:dyDescent="0.3">
      <c r="A72" s="1">
        <v>298.14999999999998</v>
      </c>
      <c r="B72" s="1">
        <v>0.4813073763012653</v>
      </c>
      <c r="C72" s="1">
        <v>0.31853194634861437</v>
      </c>
      <c r="D72" s="1">
        <f t="shared" si="1"/>
        <v>0.20016067735012033</v>
      </c>
      <c r="E72">
        <v>19.989999999999998</v>
      </c>
    </row>
    <row r="73" spans="1:5" x14ac:dyDescent="0.3">
      <c r="A73" s="1">
        <v>298.14999999999998</v>
      </c>
      <c r="B73" s="1">
        <v>0.47130778466875201</v>
      </c>
      <c r="C73" s="1">
        <v>0.42450393013230275</v>
      </c>
      <c r="D73" s="1">
        <f t="shared" si="1"/>
        <v>0.10418828519894524</v>
      </c>
      <c r="E73">
        <v>20.39</v>
      </c>
    </row>
    <row r="74" spans="1:5" x14ac:dyDescent="0.3">
      <c r="A74" s="1">
        <v>298.14999999999998</v>
      </c>
      <c r="B74" s="1">
        <v>0.61978908639750441</v>
      </c>
      <c r="C74" s="1">
        <v>0.30638368061915899</v>
      </c>
      <c r="D74" s="1">
        <f t="shared" si="1"/>
        <v>7.3827232983336599E-2</v>
      </c>
      <c r="E74">
        <v>19.739999999999998</v>
      </c>
    </row>
    <row r="75" spans="1:5" x14ac:dyDescent="0.3">
      <c r="A75" s="1">
        <v>298.14999999999998</v>
      </c>
      <c r="B75" s="1">
        <v>0.61497817291878165</v>
      </c>
      <c r="C75" s="1">
        <v>0.19406974928845178</v>
      </c>
      <c r="D75" s="1">
        <f t="shared" si="1"/>
        <v>0.19095207779276657</v>
      </c>
      <c r="E75">
        <v>19.309999999999999</v>
      </c>
    </row>
    <row r="76" spans="1:5" x14ac:dyDescent="0.3">
      <c r="A76" s="1">
        <v>298.14999999999998</v>
      </c>
      <c r="B76" s="1">
        <v>0.61019326171837751</v>
      </c>
      <c r="C76" s="1">
        <v>8.051168686621267E-2</v>
      </c>
      <c r="D76" s="1">
        <f t="shared" si="1"/>
        <v>0.30929505141540981</v>
      </c>
      <c r="E76">
        <v>18.690000000000001</v>
      </c>
    </row>
    <row r="77" spans="1:5" x14ac:dyDescent="0.3">
      <c r="A77" s="1">
        <v>298.14999999999998</v>
      </c>
      <c r="B77" s="1">
        <v>0.6948333935788833</v>
      </c>
      <c r="C77" s="1">
        <v>0.16905150822190659</v>
      </c>
      <c r="D77" s="1">
        <f t="shared" si="1"/>
        <v>0.13611509819921011</v>
      </c>
      <c r="E77">
        <v>18.82</v>
      </c>
    </row>
    <row r="78" spans="1:5" x14ac:dyDescent="0.3">
      <c r="A78" s="1">
        <v>298.14999999999998</v>
      </c>
      <c r="B78" s="1">
        <v>0.82137631819117818</v>
      </c>
      <c r="C78" s="1">
        <v>0.10088693342373915</v>
      </c>
      <c r="D78" s="1">
        <f t="shared" si="1"/>
        <v>7.7736748385082668E-2</v>
      </c>
      <c r="E78">
        <v>18.559999999999999</v>
      </c>
    </row>
    <row r="79" spans="1:5" x14ac:dyDescent="0.3">
      <c r="A79" s="1">
        <v>298.14999999999998</v>
      </c>
      <c r="B79" s="1">
        <v>0.94477884555235503</v>
      </c>
      <c r="C79" s="1">
        <v>3.1481569132282484E-2</v>
      </c>
      <c r="D79" s="1">
        <f t="shared" si="1"/>
        <v>2.3739585315362487E-2</v>
      </c>
      <c r="E79">
        <v>18.2</v>
      </c>
    </row>
    <row r="119" spans="1:3" x14ac:dyDescent="0.3">
      <c r="A119" s="1"/>
      <c r="B119" s="1"/>
      <c r="C119" s="1"/>
    </row>
    <row r="123" spans="1:3" x14ac:dyDescent="0.3">
      <c r="A123" s="1"/>
      <c r="B123" s="1"/>
      <c r="C123" s="1"/>
    </row>
    <row r="124" spans="1:3" x14ac:dyDescent="0.3">
      <c r="A124" s="1"/>
      <c r="B124" s="1"/>
      <c r="C124" s="1"/>
    </row>
    <row r="127" spans="1:3" x14ac:dyDescent="0.3">
      <c r="A127" s="1"/>
      <c r="B127" s="1"/>
      <c r="C127" s="1"/>
    </row>
    <row r="128" spans="1:3" x14ac:dyDescent="0.3">
      <c r="A128" s="1"/>
      <c r="B128" s="1"/>
      <c r="C128" s="1"/>
    </row>
    <row r="129" spans="1:3" x14ac:dyDescent="0.3">
      <c r="A129" s="1"/>
      <c r="B129" s="1"/>
      <c r="C129" s="1"/>
    </row>
    <row r="131" spans="1:3" x14ac:dyDescent="0.3">
      <c r="A131" s="1"/>
      <c r="B131" s="1"/>
      <c r="C131" s="1"/>
    </row>
    <row r="132" spans="1:3" x14ac:dyDescent="0.3">
      <c r="A132" s="1"/>
      <c r="B132" s="1"/>
      <c r="C132" s="1"/>
    </row>
    <row r="133" spans="1:3" x14ac:dyDescent="0.3">
      <c r="A133" s="1"/>
      <c r="B133" s="1"/>
      <c r="C133" s="1"/>
    </row>
    <row r="134" spans="1:3" x14ac:dyDescent="0.3">
      <c r="A134" s="1"/>
      <c r="B134" s="1"/>
      <c r="C134" s="1"/>
    </row>
    <row r="239" spans="1:3" x14ac:dyDescent="0.3">
      <c r="A239" s="1"/>
      <c r="B239" s="1"/>
      <c r="C239" s="1"/>
    </row>
    <row r="243" spans="1:3" x14ac:dyDescent="0.3">
      <c r="A243" s="1"/>
      <c r="B243" s="1"/>
      <c r="C243" s="1"/>
    </row>
    <row r="244" spans="1:3" x14ac:dyDescent="0.3">
      <c r="A244" s="1"/>
      <c r="B244" s="1"/>
      <c r="C244" s="1"/>
    </row>
    <row r="247" spans="1:3" x14ac:dyDescent="0.3">
      <c r="A247" s="1"/>
      <c r="B247" s="1"/>
      <c r="C247" s="1"/>
    </row>
    <row r="248" spans="1:3" x14ac:dyDescent="0.3">
      <c r="A248" s="1"/>
      <c r="B248" s="1"/>
      <c r="C248" s="1"/>
    </row>
    <row r="249" spans="1:3" x14ac:dyDescent="0.3">
      <c r="A249" s="1"/>
      <c r="B249" s="1"/>
      <c r="C249" s="1"/>
    </row>
    <row r="251" spans="1:3" x14ac:dyDescent="0.3">
      <c r="A251" s="1"/>
      <c r="B251" s="1"/>
      <c r="C251" s="1"/>
    </row>
    <row r="252" spans="1:3" x14ac:dyDescent="0.3">
      <c r="A252" s="1"/>
      <c r="B252" s="1"/>
      <c r="C252" s="1"/>
    </row>
    <row r="253" spans="1:3" x14ac:dyDescent="0.3">
      <c r="A253" s="1"/>
      <c r="B253" s="1"/>
      <c r="C253" s="1"/>
    </row>
    <row r="254" spans="1:3" x14ac:dyDescent="0.3">
      <c r="A254" s="1"/>
      <c r="B254" s="1"/>
      <c r="C254" s="1"/>
    </row>
    <row r="380" spans="1:3" x14ac:dyDescent="0.3">
      <c r="A380" s="1"/>
      <c r="B380" s="1"/>
      <c r="C380" s="1"/>
    </row>
    <row r="384" spans="1:3" x14ac:dyDescent="0.3">
      <c r="A384" s="1"/>
      <c r="B384" s="1"/>
      <c r="C384" s="1"/>
    </row>
    <row r="385" spans="1:3" x14ac:dyDescent="0.3">
      <c r="A385" s="1"/>
      <c r="B385" s="1"/>
      <c r="C385" s="1"/>
    </row>
    <row r="388" spans="1:3" x14ac:dyDescent="0.3">
      <c r="A388" s="1"/>
      <c r="B388" s="1"/>
      <c r="C388" s="1"/>
    </row>
    <row r="389" spans="1:3" x14ac:dyDescent="0.3">
      <c r="A389" s="1"/>
      <c r="B389" s="1"/>
      <c r="C389" s="1"/>
    </row>
    <row r="390" spans="1:3" x14ac:dyDescent="0.3">
      <c r="A390" s="1"/>
      <c r="B390" s="1"/>
      <c r="C39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16CED-1412-4BE0-A17A-2C6774C4B6AE}">
  <dimension ref="A1:C12"/>
  <sheetViews>
    <sheetView workbookViewId="0">
      <selection activeCell="B2" sqref="B2"/>
    </sheetView>
  </sheetViews>
  <sheetFormatPr baseColWidth="10" defaultRowHeight="15.6" x14ac:dyDescent="0.3"/>
  <sheetData>
    <row r="1" spans="1:3" x14ac:dyDescent="0.3">
      <c r="A1" s="5" t="s">
        <v>30</v>
      </c>
      <c r="B1" s="5" t="s">
        <v>39</v>
      </c>
      <c r="C1" s="5" t="s">
        <v>38</v>
      </c>
    </row>
    <row r="2" spans="1:3" x14ac:dyDescent="0.3">
      <c r="A2">
        <v>278.14999999999998</v>
      </c>
      <c r="C2">
        <v>0.36243205961537256</v>
      </c>
    </row>
    <row r="3" spans="1:3" x14ac:dyDescent="0.3">
      <c r="A3">
        <v>283.14999999999998</v>
      </c>
      <c r="C3">
        <v>0.34344723525470516</v>
      </c>
    </row>
    <row r="4" spans="1:3" x14ac:dyDescent="0.3">
      <c r="A4">
        <v>288.14999999999998</v>
      </c>
      <c r="C4">
        <v>0.32597660423845043</v>
      </c>
    </row>
    <row r="5" spans="1:3" x14ac:dyDescent="0.3">
      <c r="A5">
        <v>293.14999999999998</v>
      </c>
      <c r="C5">
        <v>0.30984387714346756</v>
      </c>
    </row>
    <row r="6" spans="1:3" x14ac:dyDescent="0.3">
      <c r="A6">
        <v>298.14999999999998</v>
      </c>
      <c r="C6">
        <v>0.2949</v>
      </c>
    </row>
    <row r="7" spans="1:3" x14ac:dyDescent="0.3">
      <c r="A7">
        <v>303.14999999999998</v>
      </c>
      <c r="C7">
        <v>0.2810181072622906</v>
      </c>
    </row>
    <row r="8" spans="1:3" x14ac:dyDescent="0.3">
      <c r="A8">
        <v>308.14999999999998</v>
      </c>
      <c r="C8">
        <v>0.26808953131762875</v>
      </c>
    </row>
    <row r="9" spans="1:3" x14ac:dyDescent="0.3">
      <c r="A9">
        <v>313.14999999999998</v>
      </c>
      <c r="C9">
        <v>0.25602062546051746</v>
      </c>
    </row>
    <row r="10" spans="1:3" x14ac:dyDescent="0.3">
      <c r="A10">
        <v>318.14999999999998</v>
      </c>
      <c r="C10">
        <v>0.24473021792381416</v>
      </c>
    </row>
    <row r="11" spans="1:3" x14ac:dyDescent="0.3">
      <c r="A11">
        <v>323.14999999999998</v>
      </c>
      <c r="C11">
        <v>0.23414755893666148</v>
      </c>
    </row>
    <row r="12" spans="1:3" x14ac:dyDescent="0.3">
      <c r="A12">
        <v>328.15</v>
      </c>
      <c r="C12">
        <v>0.22421065553941721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D68F-B2B7-463A-888D-118C368A55B3}">
  <dimension ref="A1:C17"/>
  <sheetViews>
    <sheetView workbookViewId="0">
      <selection activeCell="C5" sqref="C5"/>
    </sheetView>
  </sheetViews>
  <sheetFormatPr baseColWidth="10" defaultRowHeight="15.6" x14ac:dyDescent="0.3"/>
  <sheetData>
    <row r="1" spans="1:3" x14ac:dyDescent="0.3">
      <c r="A1" t="s">
        <v>30</v>
      </c>
      <c r="B1" t="s">
        <v>39</v>
      </c>
      <c r="C1" t="s">
        <v>40</v>
      </c>
    </row>
    <row r="2" spans="1:3" x14ac:dyDescent="0.3">
      <c r="A2">
        <v>278.14999999999998</v>
      </c>
      <c r="B2">
        <v>877.8</v>
      </c>
      <c r="C2">
        <v>0.61990000000000001</v>
      </c>
    </row>
    <row r="3" spans="1:3" x14ac:dyDescent="0.3">
      <c r="A3">
        <v>283.14999999999998</v>
      </c>
      <c r="B3">
        <v>872.86</v>
      </c>
      <c r="C3">
        <v>0.59179999999999999</v>
      </c>
    </row>
    <row r="4" spans="1:3" x14ac:dyDescent="0.3">
      <c r="A4">
        <v>288.14999999999998</v>
      </c>
      <c r="B4">
        <v>867.84</v>
      </c>
      <c r="C4">
        <v>0.56210000000000004</v>
      </c>
    </row>
    <row r="5" spans="1:3" x14ac:dyDescent="0.3">
      <c r="A5">
        <v>293.14999999999998</v>
      </c>
      <c r="B5">
        <v>863.06</v>
      </c>
      <c r="C5">
        <v>0.53569999999999995</v>
      </c>
    </row>
    <row r="6" spans="1:3" x14ac:dyDescent="0.3">
      <c r="A6">
        <v>298.14999999999998</v>
      </c>
      <c r="B6">
        <v>858.3</v>
      </c>
      <c r="C6">
        <v>0.51060000000000005</v>
      </c>
    </row>
    <row r="7" spans="1:3" x14ac:dyDescent="0.3">
      <c r="A7">
        <v>303.14999999999998</v>
      </c>
      <c r="B7">
        <v>853.34</v>
      </c>
      <c r="C7">
        <v>0.48699999999999999</v>
      </c>
    </row>
    <row r="8" spans="1:3" x14ac:dyDescent="0.3">
      <c r="A8">
        <v>308.14999999999998</v>
      </c>
      <c r="B8">
        <v>848.54</v>
      </c>
      <c r="C8">
        <v>0.46500000000000002</v>
      </c>
    </row>
    <row r="9" spans="1:3" x14ac:dyDescent="0.3">
      <c r="A9">
        <v>313.14999999999998</v>
      </c>
      <c r="B9">
        <v>843.74</v>
      </c>
      <c r="C9">
        <v>0.44440000000000002</v>
      </c>
    </row>
    <row r="10" spans="1:3" x14ac:dyDescent="0.3">
      <c r="A10">
        <v>318.14999999999998</v>
      </c>
      <c r="B10">
        <v>838.66</v>
      </c>
      <c r="C10">
        <v>0.42520000000000002</v>
      </c>
    </row>
    <row r="11" spans="1:3" x14ac:dyDescent="0.3">
      <c r="A11">
        <v>323.14999999999998</v>
      </c>
      <c r="B11">
        <v>833.88</v>
      </c>
      <c r="C11">
        <v>0.40710000000000002</v>
      </c>
    </row>
    <row r="12" spans="1:3" x14ac:dyDescent="0.3">
      <c r="A12">
        <v>328.15</v>
      </c>
      <c r="B12">
        <v>828.8</v>
      </c>
      <c r="C12">
        <v>0.38969999999999999</v>
      </c>
    </row>
    <row r="13" spans="1:3" x14ac:dyDescent="0.3">
      <c r="A13">
        <v>333.15</v>
      </c>
      <c r="B13">
        <v>823.81</v>
      </c>
      <c r="C13">
        <v>0.37359999999999999</v>
      </c>
    </row>
    <row r="14" spans="1:3" x14ac:dyDescent="0.3">
      <c r="A14">
        <v>338.15</v>
      </c>
      <c r="B14">
        <v>818.87</v>
      </c>
      <c r="C14">
        <v>0.35849999999999999</v>
      </c>
    </row>
    <row r="15" spans="1:3" x14ac:dyDescent="0.3">
      <c r="A15">
        <v>343.15</v>
      </c>
      <c r="B15">
        <v>813.27</v>
      </c>
      <c r="C15">
        <v>0.34449999999999997</v>
      </c>
    </row>
    <row r="16" spans="1:3" x14ac:dyDescent="0.3">
      <c r="A16">
        <v>348.15</v>
      </c>
      <c r="B16">
        <v>804.97</v>
      </c>
      <c r="C16">
        <v>0.3306</v>
      </c>
    </row>
    <row r="17" spans="1:3" x14ac:dyDescent="0.3">
      <c r="A17">
        <v>353.15</v>
      </c>
      <c r="B17">
        <v>784.09</v>
      </c>
      <c r="C17">
        <v>0.31740000000000002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2D96-5EB5-4DD0-8F99-B2D141F36D2C}">
  <dimension ref="A1:C10"/>
  <sheetViews>
    <sheetView workbookViewId="0">
      <selection activeCell="G13" sqref="G13"/>
    </sheetView>
  </sheetViews>
  <sheetFormatPr baseColWidth="10" defaultRowHeight="15.6" x14ac:dyDescent="0.3"/>
  <sheetData>
    <row r="1" spans="1:3" x14ac:dyDescent="0.3">
      <c r="A1" t="s">
        <v>30</v>
      </c>
      <c r="B1" t="s">
        <v>39</v>
      </c>
      <c r="C1" t="s">
        <v>40</v>
      </c>
    </row>
    <row r="2" spans="1:3" x14ac:dyDescent="0.3">
      <c r="A2">
        <v>293.14999999999998</v>
      </c>
      <c r="B2">
        <v>0.80364999999999998</v>
      </c>
      <c r="C2" s="1">
        <v>2.1970000000000001</v>
      </c>
    </row>
    <row r="3" spans="1:3" x14ac:dyDescent="0.3">
      <c r="A3">
        <v>298.14999999999998</v>
      </c>
      <c r="B3">
        <v>0.80020999999999998</v>
      </c>
      <c r="C3">
        <v>1.9470000000000001</v>
      </c>
    </row>
    <row r="4" spans="1:3" x14ac:dyDescent="0.3">
      <c r="A4">
        <v>303.14999999999998</v>
      </c>
      <c r="B4">
        <v>0.79561000000000004</v>
      </c>
      <c r="C4" s="1">
        <v>1.726</v>
      </c>
    </row>
    <row r="5" spans="1:3" x14ac:dyDescent="0.3">
      <c r="A5">
        <v>308.14999999999998</v>
      </c>
      <c r="B5">
        <v>0.79227000000000003</v>
      </c>
      <c r="C5">
        <v>1.542</v>
      </c>
    </row>
    <row r="6" spans="1:3" x14ac:dyDescent="0.3">
      <c r="A6">
        <v>313.14999999999998</v>
      </c>
      <c r="B6">
        <v>0.78742999999999996</v>
      </c>
      <c r="C6" s="1">
        <v>1.379</v>
      </c>
    </row>
    <row r="7" spans="1:3" x14ac:dyDescent="0.3">
      <c r="A7">
        <v>318.14999999999998</v>
      </c>
      <c r="B7">
        <v>0.78427999999999998</v>
      </c>
      <c r="C7">
        <v>1.236</v>
      </c>
    </row>
    <row r="8" spans="1:3" x14ac:dyDescent="0.3">
      <c r="A8">
        <v>323.14999999999998</v>
      </c>
      <c r="B8">
        <v>0.77905999999999997</v>
      </c>
      <c r="C8" s="1">
        <v>1.111</v>
      </c>
    </row>
    <row r="9" spans="1:3" x14ac:dyDescent="0.3">
      <c r="A9">
        <v>328.15</v>
      </c>
      <c r="B9">
        <v>0.77666999999999997</v>
      </c>
      <c r="C9">
        <v>1.0029999999999999</v>
      </c>
    </row>
    <row r="10" spans="1:3" x14ac:dyDescent="0.3">
      <c r="A10">
        <v>333.15</v>
      </c>
      <c r="B10">
        <v>0.77281999999999995</v>
      </c>
      <c r="C10" s="1">
        <v>0.90800000000000003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7D52-08B0-4D57-8633-B337252B3C31}">
  <dimension ref="B2:H7"/>
  <sheetViews>
    <sheetView tabSelected="1" workbookViewId="0">
      <selection activeCell="B3" sqref="B3:H5"/>
    </sheetView>
  </sheetViews>
  <sheetFormatPr baseColWidth="10" defaultRowHeight="15.6" x14ac:dyDescent="0.3"/>
  <cols>
    <col min="2" max="2" width="14.796875" customWidth="1"/>
  </cols>
  <sheetData>
    <row r="2" spans="2:8" x14ac:dyDescent="0.3"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48</v>
      </c>
    </row>
    <row r="3" spans="2:8" x14ac:dyDescent="0.3">
      <c r="B3" t="s">
        <v>46</v>
      </c>
      <c r="C3" s="6">
        <v>0.69761045200000005</v>
      </c>
      <c r="D3" s="6">
        <v>3.6523933500000001</v>
      </c>
      <c r="E3" s="6">
        <v>-0.32244582799999999</v>
      </c>
      <c r="F3" s="6">
        <v>-1.5558680699999999E-3</v>
      </c>
      <c r="G3" s="6">
        <v>-1.0724348699999999E-3</v>
      </c>
      <c r="H3" s="6">
        <v>1.07E-3</v>
      </c>
    </row>
    <row r="4" spans="2:8" x14ac:dyDescent="0.3">
      <c r="B4" t="s">
        <v>8</v>
      </c>
      <c r="C4" s="6">
        <v>1.7726938299999999</v>
      </c>
      <c r="D4" s="6">
        <v>1.40387416</v>
      </c>
      <c r="E4" s="6">
        <v>-2.0596021699999998</v>
      </c>
      <c r="F4" s="6">
        <v>-0.50612411000000002</v>
      </c>
      <c r="G4" s="6">
        <v>-5.1854749999999998E-2</v>
      </c>
      <c r="H4" s="6">
        <v>5.8349999999999999E-2</v>
      </c>
    </row>
    <row r="5" spans="2:8" x14ac:dyDescent="0.3">
      <c r="B5" t="s">
        <v>47</v>
      </c>
      <c r="C5" s="6">
        <v>1.90057166</v>
      </c>
      <c r="D5" s="6">
        <v>0.58600759999999996</v>
      </c>
      <c r="E5" s="6">
        <v>-1.4573176400000001</v>
      </c>
      <c r="F5" s="6">
        <v>-0.18734802</v>
      </c>
      <c r="G5" s="6">
        <v>-1.067735E-2</v>
      </c>
      <c r="H5" s="6">
        <v>5.808E-2</v>
      </c>
    </row>
    <row r="7" spans="2:8" ht="31.2" x14ac:dyDescent="0.3">
      <c r="B7" s="7" t="s">
        <v>49</v>
      </c>
      <c r="C7" s="8">
        <v>2.0577558288216502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puros</vt:lpstr>
      <vt:lpstr>vle</vt:lpstr>
      <vt:lpstr>viscosity</vt:lpstr>
      <vt:lpstr>density</vt:lpstr>
      <vt:lpstr>IFT</vt:lpstr>
      <vt:lpstr>visc_hexane</vt:lpstr>
      <vt:lpstr>visc_cpme</vt:lpstr>
      <vt:lpstr>visc_propanol</vt:lpstr>
      <vt:lpstr>A-scaling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Mejía</dc:creator>
  <cp:lastModifiedBy>Isaias Exequiel Huenuvil Pacheco</cp:lastModifiedBy>
  <dcterms:created xsi:type="dcterms:W3CDTF">2023-12-07T18:54:16Z</dcterms:created>
  <dcterms:modified xsi:type="dcterms:W3CDTF">2025-04-19T06:18:02Z</dcterms:modified>
</cp:coreProperties>
</file>