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iggy/python-cods/jcdata/"/>
    </mc:Choice>
  </mc:AlternateContent>
  <xr:revisionPtr revIDLastSave="0" documentId="13_ncr:1_{B389A1BA-235B-EB4A-A542-A2735FCD2F33}" xr6:coauthVersionLast="47" xr6:coauthVersionMax="47" xr10:uidLastSave="{00000000-0000-0000-0000-000000000000}"/>
  <bookViews>
    <workbookView xWindow="34780" yWindow="1740" windowWidth="19400" windowHeight="11600" activeTab="5" xr2:uid="{264F3A3F-6528-8141-A0EE-B35B7187401E}"/>
  </bookViews>
  <sheets>
    <sheet name="virial" sheetId="8" r:id="rId1"/>
    <sheet name="VLE_20" sheetId="19" r:id="rId2"/>
    <sheet name="VLE_50" sheetId="1" r:id="rId3"/>
    <sheet name="VLE_75" sheetId="6" r:id="rId4"/>
    <sheet name="VLE_94" sheetId="7" r:id="rId5"/>
    <sheet name="dyn_vis" sheetId="4" r:id="rId6"/>
    <sheet name="viscpure_1" sheetId="12" r:id="rId7"/>
    <sheet name="viscpure_2" sheetId="11" r:id="rId8"/>
  </sheets>
  <definedNames>
    <definedName name="_xlnm._FilterDatabase" localSheetId="1" hidden="1">VLE_20!$A$1:$D$22</definedName>
    <definedName name="_xlnm._FilterDatabase" localSheetId="2" hidden="1">VLE_50!$A$1:$D$20</definedName>
    <definedName name="_xlnm._FilterDatabase" localSheetId="3" hidden="1">VLE_75!$A$1:$D$19</definedName>
    <definedName name="_xlnm._FilterDatabase" localSheetId="4" hidden="1">VLE_94!$A$1:$D$21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7" l="1"/>
  <c r="A19" i="6"/>
  <c r="A20" i="1"/>
  <c r="A2" i="6"/>
  <c r="A2" i="1" l="1"/>
  <c r="A2" i="7"/>
</calcChain>
</file>

<file path=xl/sharedStrings.xml><?xml version="1.0" encoding="utf-8"?>
<sst xmlns="http://schemas.openxmlformats.org/spreadsheetml/2006/main" count="27" uniqueCount="11">
  <si>
    <t>x1</t>
  </si>
  <si>
    <t>visco/mPa*s</t>
  </si>
  <si>
    <t>T/K</t>
  </si>
  <si>
    <t>y1</t>
  </si>
  <si>
    <t>p/kPa</t>
  </si>
  <si>
    <t>T/C</t>
  </si>
  <si>
    <t>B/cm3 mol-1</t>
  </si>
  <si>
    <t>u/cm3 mol-1</t>
  </si>
  <si>
    <t>gamma1</t>
  </si>
  <si>
    <t>gamma2</t>
  </si>
  <si>
    <t>dvis/mPa*s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</si>
</sst>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2" x14ac:knownFonts="1">
    <font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165" fontId="0" fillId="0" borderId="0" xfId="0" applyNumberFormat="1"/>
    <xf numFmtId="2" fontId="1" fillId="0" borderId="0" xfId="0" applyNumberFormat="1" applyFont="1"/>
    <xf numFmtId="0" fontId="1" fillId="0" borderId="0" xfId="0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439F-F948-4D4D-BD2C-EF7702835177}">
  <dimension ref="A1:C5"/>
  <sheetViews>
    <sheetView workbookViewId="0">
      <selection activeCell="H20" sqref="H20"/>
    </sheetView>
  </sheetViews>
  <sheetFormatPr baseColWidth="10" defaultRowHeight="16" x14ac:dyDescent="0.2"/>
  <sheetData>
    <row r="1" spans="1:3" x14ac:dyDescent="0.2">
      <c r="A1" t="s">
        <v>5</v>
      </c>
      <c r="B1" t="s">
        <v>6</v>
      </c>
      <c r="C1" t="s">
        <v>7</v>
      </c>
    </row>
    <row r="2" spans="1:3" x14ac:dyDescent="0.2">
      <c r="A2">
        <v>120</v>
      </c>
      <c r="B2">
        <v>-1053</v>
      </c>
      <c r="C2">
        <v>16</v>
      </c>
    </row>
    <row r="3" spans="1:3" x14ac:dyDescent="0.2">
      <c r="A3">
        <v>135</v>
      </c>
      <c r="B3">
        <v>-903</v>
      </c>
      <c r="C3">
        <v>7</v>
      </c>
    </row>
    <row r="4" spans="1:3" x14ac:dyDescent="0.2">
      <c r="A4">
        <v>150</v>
      </c>
      <c r="B4">
        <v>-773</v>
      </c>
      <c r="C4">
        <v>13</v>
      </c>
    </row>
    <row r="5" spans="1:3" x14ac:dyDescent="0.2">
      <c r="A5">
        <v>166</v>
      </c>
      <c r="B5">
        <v>-624</v>
      </c>
      <c r="C5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1482F-062B-45E7-89BF-3B94C4FBAD92}">
  <dimension ref="A1:F22"/>
  <sheetViews>
    <sheetView zoomScaleNormal="100" workbookViewId="0">
      <selection activeCell="I28" sqref="I28"/>
    </sheetView>
  </sheetViews>
  <sheetFormatPr baseColWidth="10" defaultRowHeight="16" x14ac:dyDescent="0.2"/>
  <sheetData>
    <row r="1" spans="1:6" x14ac:dyDescent="0.2">
      <c r="A1" t="s">
        <v>2</v>
      </c>
      <c r="B1" t="s">
        <v>4</v>
      </c>
      <c r="C1" t="s">
        <v>0</v>
      </c>
      <c r="D1" t="s">
        <v>3</v>
      </c>
      <c r="E1" t="s">
        <v>8</v>
      </c>
      <c r="F1" t="s">
        <v>9</v>
      </c>
    </row>
    <row r="2" spans="1:6" x14ac:dyDescent="0.2">
      <c r="A2" s="3">
        <v>317.33</v>
      </c>
      <c r="B2">
        <v>20</v>
      </c>
      <c r="C2" s="1">
        <v>0</v>
      </c>
      <c r="D2" s="1">
        <v>0</v>
      </c>
      <c r="F2">
        <v>1</v>
      </c>
    </row>
    <row r="3" spans="1:6" x14ac:dyDescent="0.2">
      <c r="A3" s="5">
        <v>316.35000000000002</v>
      </c>
      <c r="B3">
        <v>20</v>
      </c>
      <c r="C3" s="1">
        <v>5.8000000000000003E-2</v>
      </c>
      <c r="D3" s="1">
        <v>9.0999999999999998E-2</v>
      </c>
      <c r="E3">
        <v>3.7040000000000002</v>
      </c>
      <c r="F3">
        <v>1.006</v>
      </c>
    </row>
    <row r="4" spans="1:6" x14ac:dyDescent="0.2">
      <c r="A4" s="5">
        <v>315.86</v>
      </c>
      <c r="B4">
        <v>20</v>
      </c>
      <c r="C4" s="1">
        <v>0.152</v>
      </c>
      <c r="D4" s="1">
        <v>0.16500000000000001</v>
      </c>
      <c r="E4">
        <v>2.6549999999999998</v>
      </c>
      <c r="F4">
        <v>1.048</v>
      </c>
    </row>
    <row r="5" spans="1:6" x14ac:dyDescent="0.2">
      <c r="A5" s="5">
        <v>315.83999999999997</v>
      </c>
      <c r="B5">
        <v>20</v>
      </c>
      <c r="C5" s="1">
        <v>0.21</v>
      </c>
      <c r="D5" s="1">
        <v>0.193</v>
      </c>
      <c r="E5">
        <v>2.25</v>
      </c>
      <c r="F5">
        <v>1.0880000000000001</v>
      </c>
    </row>
    <row r="6" spans="1:6" x14ac:dyDescent="0.2">
      <c r="A6" s="5">
        <v>315.91000000000003</v>
      </c>
      <c r="B6">
        <v>20</v>
      </c>
      <c r="C6" s="1">
        <v>0.26800000000000002</v>
      </c>
      <c r="D6" s="1">
        <v>0.216</v>
      </c>
      <c r="E6">
        <v>1.9650000000000001</v>
      </c>
      <c r="F6">
        <v>1.137</v>
      </c>
    </row>
    <row r="7" spans="1:6" x14ac:dyDescent="0.2">
      <c r="A7" s="5">
        <v>316.08999999999997</v>
      </c>
      <c r="B7">
        <v>20</v>
      </c>
      <c r="C7" s="1">
        <v>0.32700000000000001</v>
      </c>
      <c r="D7" s="1">
        <v>0.23599999999999999</v>
      </c>
      <c r="E7">
        <v>1.742</v>
      </c>
      <c r="F7">
        <v>1.1970000000000001</v>
      </c>
    </row>
    <row r="8" spans="1:6" x14ac:dyDescent="0.2">
      <c r="A8" s="5">
        <v>316.41000000000003</v>
      </c>
      <c r="B8">
        <v>20</v>
      </c>
      <c r="C8" s="1">
        <v>0.40600000000000003</v>
      </c>
      <c r="D8" s="1">
        <v>0.26</v>
      </c>
      <c r="E8">
        <v>1.522</v>
      </c>
      <c r="F8">
        <v>1.294</v>
      </c>
    </row>
    <row r="9" spans="1:6" x14ac:dyDescent="0.2">
      <c r="A9" s="5">
        <v>316.79000000000002</v>
      </c>
      <c r="B9">
        <v>20</v>
      </c>
      <c r="C9" s="1">
        <v>0.47099999999999997</v>
      </c>
      <c r="D9" s="1">
        <v>0.28100000000000003</v>
      </c>
      <c r="E9">
        <v>1.385</v>
      </c>
      <c r="F9">
        <v>1.391</v>
      </c>
    </row>
    <row r="10" spans="1:6" x14ac:dyDescent="0.2">
      <c r="A10" s="5">
        <v>317.2</v>
      </c>
      <c r="B10">
        <v>20</v>
      </c>
      <c r="C10" s="1">
        <v>0.52400000000000002</v>
      </c>
      <c r="D10" s="1">
        <v>0.308</v>
      </c>
      <c r="E10">
        <v>1.3340000000000001</v>
      </c>
      <c r="F10">
        <v>1.462</v>
      </c>
    </row>
    <row r="11" spans="1:6" x14ac:dyDescent="0.2">
      <c r="A11" s="5">
        <v>317.77</v>
      </c>
      <c r="B11">
        <v>20</v>
      </c>
      <c r="C11" s="1">
        <v>0.58299999999999996</v>
      </c>
      <c r="D11" s="1">
        <v>0.32600000000000001</v>
      </c>
      <c r="E11">
        <v>1.228</v>
      </c>
      <c r="F11">
        <v>1.589</v>
      </c>
    </row>
    <row r="12" spans="1:6" x14ac:dyDescent="0.2">
      <c r="A12" s="5">
        <v>318.31</v>
      </c>
      <c r="B12">
        <v>20</v>
      </c>
      <c r="C12" s="1">
        <v>0.629</v>
      </c>
      <c r="D12" s="1">
        <v>0.34799999999999998</v>
      </c>
      <c r="E12">
        <v>1.179</v>
      </c>
      <c r="F12">
        <v>1.6890000000000001</v>
      </c>
    </row>
    <row r="13" spans="1:6" x14ac:dyDescent="0.2">
      <c r="A13" s="5">
        <v>318.94</v>
      </c>
      <c r="B13">
        <v>20</v>
      </c>
      <c r="C13" s="1">
        <v>0.67400000000000004</v>
      </c>
      <c r="D13" s="1">
        <v>0.375</v>
      </c>
      <c r="E13">
        <v>1.1439999999999999</v>
      </c>
      <c r="F13">
        <v>1.7949999999999999</v>
      </c>
    </row>
    <row r="14" spans="1:6" x14ac:dyDescent="0.2">
      <c r="A14" s="5">
        <v>319.70999999999998</v>
      </c>
      <c r="B14">
        <v>20</v>
      </c>
      <c r="C14" s="1">
        <v>0.72</v>
      </c>
      <c r="D14" s="1">
        <v>0.40699999999999997</v>
      </c>
      <c r="E14">
        <v>1.115</v>
      </c>
      <c r="F14">
        <v>1.9219999999999999</v>
      </c>
    </row>
    <row r="15" spans="1:6" x14ac:dyDescent="0.2">
      <c r="A15" s="5">
        <v>320.7</v>
      </c>
      <c r="B15">
        <v>20</v>
      </c>
      <c r="C15" s="1">
        <v>0.76400000000000001</v>
      </c>
      <c r="D15" s="1">
        <v>0.44400000000000001</v>
      </c>
      <c r="E15">
        <v>1.085</v>
      </c>
      <c r="F15">
        <v>2.0510000000000002</v>
      </c>
    </row>
    <row r="16" spans="1:6" x14ac:dyDescent="0.2">
      <c r="A16" s="5">
        <v>321.83999999999997</v>
      </c>
      <c r="B16">
        <v>20</v>
      </c>
      <c r="C16" s="1">
        <v>0.80600000000000005</v>
      </c>
      <c r="D16" s="1">
        <v>0.48699999999999999</v>
      </c>
      <c r="E16">
        <v>1.0609999999999999</v>
      </c>
      <c r="F16">
        <v>2.198</v>
      </c>
    </row>
    <row r="17" spans="1:6" x14ac:dyDescent="0.2">
      <c r="A17" s="5">
        <v>323.33</v>
      </c>
      <c r="B17">
        <v>20</v>
      </c>
      <c r="C17" s="1">
        <v>0.84799999999999998</v>
      </c>
      <c r="D17" s="1">
        <v>0.54700000000000004</v>
      </c>
      <c r="E17">
        <v>1.0449999999999999</v>
      </c>
      <c r="F17">
        <v>2.3330000000000002</v>
      </c>
    </row>
    <row r="18" spans="1:6" x14ac:dyDescent="0.2">
      <c r="A18">
        <v>324.89</v>
      </c>
      <c r="B18">
        <v>20</v>
      </c>
      <c r="C18">
        <v>0.88600000000000001</v>
      </c>
      <c r="D18">
        <v>0.61099999999999999</v>
      </c>
      <c r="E18">
        <v>1.0289999999999999</v>
      </c>
      <c r="F18">
        <v>2.516</v>
      </c>
    </row>
    <row r="19" spans="1:6" x14ac:dyDescent="0.2">
      <c r="A19" s="5">
        <v>326.82</v>
      </c>
      <c r="B19">
        <v>20</v>
      </c>
      <c r="C19" s="1">
        <v>0.92300000000000004</v>
      </c>
      <c r="D19" s="1">
        <v>0.69399999999999995</v>
      </c>
      <c r="E19">
        <v>1.0129999999999999</v>
      </c>
      <c r="F19">
        <v>2.7320000000000002</v>
      </c>
    </row>
    <row r="20" spans="1:6" x14ac:dyDescent="0.2">
      <c r="A20">
        <v>329.05</v>
      </c>
      <c r="B20">
        <v>20</v>
      </c>
      <c r="C20">
        <v>0.95699999999999996</v>
      </c>
      <c r="D20">
        <v>0.80200000000000005</v>
      </c>
      <c r="E20">
        <v>1.006</v>
      </c>
      <c r="F20">
        <v>2.9220000000000002</v>
      </c>
    </row>
    <row r="21" spans="1:6" x14ac:dyDescent="0.2">
      <c r="A21" s="3">
        <v>331.22</v>
      </c>
      <c r="B21">
        <v>20</v>
      </c>
      <c r="C21">
        <v>0.98399999999999999</v>
      </c>
      <c r="D21">
        <v>0.91900000000000004</v>
      </c>
      <c r="E21">
        <v>1.004</v>
      </c>
      <c r="F21">
        <v>2.859</v>
      </c>
    </row>
    <row r="22" spans="1:6" x14ac:dyDescent="0.2">
      <c r="A22" s="3">
        <v>332.63</v>
      </c>
      <c r="B22">
        <v>20</v>
      </c>
      <c r="C22">
        <v>1</v>
      </c>
      <c r="D22">
        <v>1</v>
      </c>
      <c r="E2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9AC8D-D67B-EB44-B693-835B8E6724BA}">
  <dimension ref="A1:D22"/>
  <sheetViews>
    <sheetView zoomScaleNormal="100" workbookViewId="0">
      <selection activeCell="I28" sqref="I28"/>
    </sheetView>
  </sheetViews>
  <sheetFormatPr baseColWidth="10" defaultRowHeight="16" x14ac:dyDescent="0.2"/>
  <sheetData>
    <row r="1" spans="1:4" x14ac:dyDescent="0.2">
      <c r="A1" t="s">
        <v>2</v>
      </c>
      <c r="B1" t="s">
        <v>4</v>
      </c>
      <c r="C1" t="s">
        <v>0</v>
      </c>
      <c r="D1" t="s">
        <v>3</v>
      </c>
    </row>
    <row r="2" spans="1:4" x14ac:dyDescent="0.2">
      <c r="A2" s="3">
        <f>1285.522/(6.4552-LOG10(B2))+101.6256</f>
        <v>371.90731496583362</v>
      </c>
      <c r="B2">
        <v>50</v>
      </c>
      <c r="C2" s="1">
        <v>0</v>
      </c>
      <c r="D2" s="1">
        <v>0</v>
      </c>
    </row>
    <row r="3" spans="1:4" x14ac:dyDescent="0.2">
      <c r="A3" s="5">
        <v>370.92</v>
      </c>
      <c r="B3">
        <v>50</v>
      </c>
      <c r="C3" s="1">
        <v>0.10199999999999999</v>
      </c>
      <c r="D3" s="1">
        <v>0.12</v>
      </c>
    </row>
    <row r="4" spans="1:4" x14ac:dyDescent="0.2">
      <c r="A4" s="5">
        <v>370.38</v>
      </c>
      <c r="B4">
        <v>50</v>
      </c>
      <c r="C4" s="1">
        <v>0.15</v>
      </c>
      <c r="D4" s="1">
        <v>0.161</v>
      </c>
    </row>
    <row r="5" spans="1:4" x14ac:dyDescent="0.2">
      <c r="A5" s="5">
        <v>370.63</v>
      </c>
      <c r="B5">
        <v>50</v>
      </c>
      <c r="C5" s="1">
        <v>0.19700000000000001</v>
      </c>
      <c r="D5" s="1">
        <v>0.19500000000000001</v>
      </c>
    </row>
    <row r="6" spans="1:4" x14ac:dyDescent="0.2">
      <c r="A6" s="5">
        <v>369.92</v>
      </c>
      <c r="B6">
        <v>50</v>
      </c>
      <c r="C6" s="1">
        <v>0.246</v>
      </c>
      <c r="D6" s="1">
        <v>0.22700000000000001</v>
      </c>
    </row>
    <row r="7" spans="1:4" x14ac:dyDescent="0.2">
      <c r="A7" s="5">
        <v>369.43</v>
      </c>
      <c r="B7">
        <v>50</v>
      </c>
      <c r="C7" s="1">
        <v>0.29399999999999998</v>
      </c>
      <c r="D7" s="1">
        <v>0.25600000000000001</v>
      </c>
    </row>
    <row r="8" spans="1:4" x14ac:dyDescent="0.2">
      <c r="A8" s="5">
        <v>369.66</v>
      </c>
      <c r="B8">
        <v>50</v>
      </c>
      <c r="C8" s="1">
        <v>0.34200000000000003</v>
      </c>
      <c r="D8" s="1">
        <v>0.28000000000000003</v>
      </c>
    </row>
    <row r="9" spans="1:4" x14ac:dyDescent="0.2">
      <c r="A9" s="5">
        <v>369.68</v>
      </c>
      <c r="B9">
        <v>50</v>
      </c>
      <c r="C9" s="1">
        <v>0.39200000000000002</v>
      </c>
      <c r="D9" s="1">
        <v>0.30499999999999999</v>
      </c>
    </row>
    <row r="10" spans="1:4" x14ac:dyDescent="0.2">
      <c r="A10" s="5">
        <v>369.84</v>
      </c>
      <c r="B10">
        <v>50</v>
      </c>
      <c r="C10" s="1">
        <v>0.44400000000000001</v>
      </c>
      <c r="D10" s="1">
        <v>0.32800000000000001</v>
      </c>
    </row>
    <row r="11" spans="1:4" x14ac:dyDescent="0.2">
      <c r="A11" s="5">
        <v>370.26</v>
      </c>
      <c r="B11">
        <v>50</v>
      </c>
      <c r="C11" s="1">
        <v>0.497</v>
      </c>
      <c r="D11" s="1">
        <v>0.35499999999999998</v>
      </c>
    </row>
    <row r="12" spans="1:4" x14ac:dyDescent="0.2">
      <c r="A12" s="5">
        <v>371.39</v>
      </c>
      <c r="B12">
        <v>50</v>
      </c>
      <c r="C12" s="1">
        <v>0.52400000000000002</v>
      </c>
      <c r="D12" s="1">
        <v>0.36399999999999999</v>
      </c>
    </row>
    <row r="13" spans="1:4" x14ac:dyDescent="0.2">
      <c r="A13" s="5">
        <v>371.78</v>
      </c>
      <c r="B13">
        <v>50</v>
      </c>
      <c r="C13" s="1">
        <v>0.55000000000000004</v>
      </c>
      <c r="D13" s="1">
        <v>0.378</v>
      </c>
    </row>
    <row r="14" spans="1:4" x14ac:dyDescent="0.2">
      <c r="A14" s="5">
        <v>372.01</v>
      </c>
      <c r="B14">
        <v>50</v>
      </c>
      <c r="C14" s="1">
        <v>0.60099999999999998</v>
      </c>
      <c r="D14" s="1">
        <v>0.40300000000000002</v>
      </c>
    </row>
    <row r="15" spans="1:4" x14ac:dyDescent="0.2">
      <c r="A15" s="5">
        <v>372.89</v>
      </c>
      <c r="B15">
        <v>50</v>
      </c>
      <c r="C15" s="1">
        <v>0.64600000000000002</v>
      </c>
      <c r="D15" s="1">
        <v>0.42699999999999999</v>
      </c>
    </row>
    <row r="16" spans="1:4" x14ac:dyDescent="0.2">
      <c r="A16">
        <v>373.51</v>
      </c>
      <c r="B16">
        <v>50</v>
      </c>
      <c r="C16">
        <v>0.69499999999999995</v>
      </c>
      <c r="D16">
        <v>0.45600000000000002</v>
      </c>
    </row>
    <row r="17" spans="1:4" x14ac:dyDescent="0.2">
      <c r="A17" s="5">
        <v>374.47</v>
      </c>
      <c r="B17">
        <v>50</v>
      </c>
      <c r="C17" s="1">
        <v>0.74199999999999999</v>
      </c>
      <c r="D17" s="1">
        <v>0.49399999999999999</v>
      </c>
    </row>
    <row r="18" spans="1:4" x14ac:dyDescent="0.2">
      <c r="A18">
        <v>375.65</v>
      </c>
      <c r="B18">
        <v>50</v>
      </c>
      <c r="C18">
        <v>0.78900000000000003</v>
      </c>
      <c r="D18">
        <v>0.53800000000000003</v>
      </c>
    </row>
    <row r="19" spans="1:4" x14ac:dyDescent="0.2">
      <c r="A19" s="3">
        <v>377.2</v>
      </c>
      <c r="B19">
        <v>50</v>
      </c>
      <c r="C19">
        <v>0.83899999999999997</v>
      </c>
      <c r="D19">
        <v>0.58899999999999997</v>
      </c>
    </row>
    <row r="20" spans="1:4" x14ac:dyDescent="0.2">
      <c r="A20" s="3">
        <f>3329.56/(8.54371-LOG10(B20))-95.97533</f>
        <v>390.4653532267136</v>
      </c>
      <c r="B20">
        <v>50</v>
      </c>
      <c r="C20" s="1">
        <v>1</v>
      </c>
      <c r="D20" s="1">
        <v>1</v>
      </c>
    </row>
    <row r="22" spans="1:4" x14ac:dyDescent="0.2">
      <c r="A2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D9AA0-8CC7-4A3D-863B-A7DE87452799}">
  <dimension ref="A1:D19"/>
  <sheetViews>
    <sheetView zoomScaleNormal="100" workbookViewId="0">
      <selection activeCell="I28" sqref="I28"/>
    </sheetView>
  </sheetViews>
  <sheetFormatPr baseColWidth="10" defaultRowHeight="16" x14ac:dyDescent="0.2"/>
  <sheetData>
    <row r="1" spans="1:4" x14ac:dyDescent="0.2">
      <c r="A1" t="s">
        <v>2</v>
      </c>
      <c r="B1" t="s">
        <v>4</v>
      </c>
      <c r="C1" t="s">
        <v>0</v>
      </c>
      <c r="D1" t="s">
        <v>3</v>
      </c>
    </row>
    <row r="2" spans="1:4" x14ac:dyDescent="0.2">
      <c r="A2" s="3">
        <f>1285.522/(6.4552-LOG10(B2))+101.6256</f>
        <v>382.29875728343183</v>
      </c>
      <c r="B2">
        <v>75</v>
      </c>
      <c r="C2" s="1">
        <v>0</v>
      </c>
      <c r="D2" s="1">
        <v>0</v>
      </c>
    </row>
    <row r="3" spans="1:4" x14ac:dyDescent="0.2">
      <c r="A3" s="6">
        <v>381.05</v>
      </c>
      <c r="B3">
        <v>75</v>
      </c>
      <c r="C3" s="1">
        <v>0.10199999999999999</v>
      </c>
      <c r="D3" s="1">
        <v>0.11</v>
      </c>
    </row>
    <row r="4" spans="1:4" x14ac:dyDescent="0.2">
      <c r="A4" s="6">
        <v>380.88</v>
      </c>
      <c r="B4">
        <v>75</v>
      </c>
      <c r="C4" s="1">
        <v>0.15</v>
      </c>
      <c r="D4" s="1">
        <v>0.14799999999999999</v>
      </c>
    </row>
    <row r="5" spans="1:4" x14ac:dyDescent="0.2">
      <c r="A5" s="6">
        <v>380.76</v>
      </c>
      <c r="B5">
        <v>75</v>
      </c>
      <c r="C5" s="1">
        <v>0.19800000000000001</v>
      </c>
      <c r="D5" s="1">
        <v>0.18099999999999999</v>
      </c>
    </row>
    <row r="6" spans="1:4" x14ac:dyDescent="0.2">
      <c r="A6" s="6">
        <v>380.54</v>
      </c>
      <c r="B6">
        <v>75</v>
      </c>
      <c r="C6" s="1">
        <v>0.248</v>
      </c>
      <c r="D6" s="1">
        <v>0.21199999999999999</v>
      </c>
    </row>
    <row r="7" spans="1:4" x14ac:dyDescent="0.2">
      <c r="A7" s="6">
        <v>380.21</v>
      </c>
      <c r="B7">
        <v>75</v>
      </c>
      <c r="C7" s="1">
        <v>0.29399999999999998</v>
      </c>
      <c r="D7" s="1">
        <v>0.23699999999999999</v>
      </c>
    </row>
    <row r="8" spans="1:4" x14ac:dyDescent="0.2">
      <c r="A8" s="6">
        <v>380.35</v>
      </c>
      <c r="B8">
        <v>75</v>
      </c>
      <c r="C8" s="1">
        <v>0.34300000000000003</v>
      </c>
      <c r="D8" s="1">
        <v>0.26100000000000001</v>
      </c>
    </row>
    <row r="9" spans="1:4" x14ac:dyDescent="0.2">
      <c r="A9" s="5">
        <v>380.46</v>
      </c>
      <c r="B9">
        <v>75</v>
      </c>
      <c r="C9" s="1">
        <v>0.39500000000000002</v>
      </c>
      <c r="D9" s="1">
        <v>0.28499999999999998</v>
      </c>
    </row>
    <row r="10" spans="1:4" x14ac:dyDescent="0.2">
      <c r="A10" s="5">
        <v>380.9</v>
      </c>
      <c r="B10">
        <v>75</v>
      </c>
      <c r="C10" s="1">
        <v>0.44500000000000001</v>
      </c>
      <c r="D10" s="1">
        <v>0.309</v>
      </c>
    </row>
    <row r="11" spans="1:4" x14ac:dyDescent="0.2">
      <c r="A11" s="6">
        <v>381.31</v>
      </c>
      <c r="B11">
        <v>75</v>
      </c>
      <c r="C11" s="1">
        <v>0.498</v>
      </c>
      <c r="D11" s="1">
        <v>0.33400000000000002</v>
      </c>
    </row>
    <row r="12" spans="1:4" x14ac:dyDescent="0.2">
      <c r="A12" s="6">
        <v>382.47</v>
      </c>
      <c r="B12">
        <v>75</v>
      </c>
      <c r="C12" s="1">
        <v>0.52500000000000002</v>
      </c>
      <c r="D12" s="1">
        <v>0.34799999999999998</v>
      </c>
    </row>
    <row r="13" spans="1:4" x14ac:dyDescent="0.2">
      <c r="A13" s="6">
        <v>383.61</v>
      </c>
      <c r="B13">
        <v>75</v>
      </c>
      <c r="C13" s="1">
        <v>0.6</v>
      </c>
      <c r="D13" s="1">
        <v>0.38300000000000001</v>
      </c>
    </row>
    <row r="14" spans="1:4" x14ac:dyDescent="0.2">
      <c r="A14" s="6">
        <v>384.17</v>
      </c>
      <c r="B14">
        <v>75</v>
      </c>
      <c r="C14" s="1">
        <v>0.64600000000000002</v>
      </c>
      <c r="D14" s="1">
        <v>0.41</v>
      </c>
    </row>
    <row r="15" spans="1:4" x14ac:dyDescent="0.2">
      <c r="A15" s="6">
        <v>384.97</v>
      </c>
      <c r="B15">
        <v>75</v>
      </c>
      <c r="C15" s="1">
        <v>0.69499999999999995</v>
      </c>
      <c r="D15" s="1">
        <v>0.44700000000000001</v>
      </c>
    </row>
    <row r="16" spans="1:4" x14ac:dyDescent="0.2">
      <c r="A16" s="6">
        <v>385.87</v>
      </c>
      <c r="B16">
        <v>75</v>
      </c>
      <c r="C16" s="1">
        <v>0.74199999999999999</v>
      </c>
      <c r="D16" s="1">
        <v>0.48499999999999999</v>
      </c>
    </row>
    <row r="17" spans="1:4" x14ac:dyDescent="0.2">
      <c r="A17" s="6">
        <v>387.49</v>
      </c>
      <c r="B17">
        <v>75</v>
      </c>
      <c r="C17" s="1">
        <v>0.78900000000000003</v>
      </c>
      <c r="D17" s="1">
        <v>0.52700000000000002</v>
      </c>
    </row>
    <row r="18" spans="1:4" x14ac:dyDescent="0.2">
      <c r="A18" s="6">
        <v>389.33</v>
      </c>
      <c r="B18">
        <v>75</v>
      </c>
      <c r="C18" s="1">
        <v>0.83699999999999997</v>
      </c>
      <c r="D18" s="1">
        <v>0.59</v>
      </c>
    </row>
    <row r="19" spans="1:4" x14ac:dyDescent="0.2">
      <c r="A19" s="3">
        <f>3329.56/(8.54371-LOG10(B19))-95.97533</f>
        <v>403.3102271657275</v>
      </c>
      <c r="B19">
        <v>75</v>
      </c>
      <c r="C19" s="1">
        <v>1</v>
      </c>
      <c r="D19" s="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9BE1-B586-418D-A264-E516EFE7DB9B}">
  <dimension ref="A1:D21"/>
  <sheetViews>
    <sheetView zoomScaleNormal="100" workbookViewId="0">
      <selection activeCell="I28" sqref="I28"/>
    </sheetView>
  </sheetViews>
  <sheetFormatPr baseColWidth="10" defaultRowHeight="16" x14ac:dyDescent="0.2"/>
  <sheetData>
    <row r="1" spans="1:4" x14ac:dyDescent="0.2">
      <c r="A1" t="s">
        <v>2</v>
      </c>
      <c r="B1" t="s">
        <v>4</v>
      </c>
      <c r="C1" t="s">
        <v>0</v>
      </c>
      <c r="D1" t="s">
        <v>3</v>
      </c>
    </row>
    <row r="2" spans="1:4" x14ac:dyDescent="0.2">
      <c r="A2" s="3">
        <f>1285.522/(6.4552-LOG10(B2))+101.6256</f>
        <v>388.43981405330226</v>
      </c>
      <c r="B2">
        <v>94</v>
      </c>
      <c r="C2" s="1">
        <v>0</v>
      </c>
      <c r="D2" s="1">
        <v>0</v>
      </c>
    </row>
    <row r="3" spans="1:4" x14ac:dyDescent="0.2">
      <c r="A3" s="5">
        <v>387.25</v>
      </c>
      <c r="B3">
        <v>94</v>
      </c>
      <c r="C3" s="1">
        <v>0.10199999999999999</v>
      </c>
      <c r="D3" s="1">
        <v>0.105</v>
      </c>
    </row>
    <row r="4" spans="1:4" x14ac:dyDescent="0.2">
      <c r="A4" s="5">
        <v>387.1</v>
      </c>
      <c r="B4">
        <v>94</v>
      </c>
      <c r="C4" s="1">
        <v>0.151</v>
      </c>
      <c r="D4" s="1">
        <v>0.14199999999999999</v>
      </c>
    </row>
    <row r="5" spans="1:4" x14ac:dyDescent="0.2">
      <c r="A5" s="5">
        <v>386.79</v>
      </c>
      <c r="B5">
        <v>94</v>
      </c>
      <c r="C5" s="1">
        <v>0.19800000000000001</v>
      </c>
      <c r="D5" s="1">
        <v>0.17399999999999999</v>
      </c>
    </row>
    <row r="6" spans="1:4" x14ac:dyDescent="0.2">
      <c r="A6" s="5">
        <v>386.52</v>
      </c>
      <c r="B6">
        <v>94</v>
      </c>
      <c r="C6" s="1">
        <v>0.247</v>
      </c>
      <c r="D6" s="1">
        <v>0.20300000000000001</v>
      </c>
    </row>
    <row r="7" spans="1:4" x14ac:dyDescent="0.2">
      <c r="A7" s="5">
        <v>386.4</v>
      </c>
      <c r="B7">
        <v>94</v>
      </c>
      <c r="C7" s="1">
        <v>0.29499999999999998</v>
      </c>
      <c r="D7" s="1">
        <v>0.22900000000000001</v>
      </c>
    </row>
    <row r="8" spans="1:4" x14ac:dyDescent="0.2">
      <c r="A8" s="5">
        <v>386.5</v>
      </c>
      <c r="B8">
        <v>94</v>
      </c>
      <c r="C8" s="1">
        <v>0.34300000000000003</v>
      </c>
      <c r="D8" s="1">
        <v>0.254</v>
      </c>
    </row>
    <row r="9" spans="1:4" x14ac:dyDescent="0.2">
      <c r="A9" s="5">
        <v>386.76</v>
      </c>
      <c r="B9">
        <v>94</v>
      </c>
      <c r="C9" s="1">
        <v>0.39400000000000002</v>
      </c>
      <c r="D9" s="1">
        <v>0.27700000000000002</v>
      </c>
    </row>
    <row r="10" spans="1:4" x14ac:dyDescent="0.2">
      <c r="A10" s="5">
        <v>387.21</v>
      </c>
      <c r="B10">
        <v>94</v>
      </c>
      <c r="C10" s="1">
        <v>0.44400000000000001</v>
      </c>
      <c r="D10" s="1">
        <v>0.3</v>
      </c>
    </row>
    <row r="11" spans="1:4" x14ac:dyDescent="0.2">
      <c r="A11" s="5">
        <v>387.55</v>
      </c>
      <c r="B11">
        <v>94</v>
      </c>
      <c r="C11" s="1">
        <v>0.495</v>
      </c>
      <c r="D11" s="1">
        <v>0.32500000000000001</v>
      </c>
    </row>
    <row r="12" spans="1:4" x14ac:dyDescent="0.2">
      <c r="A12" s="5">
        <v>388.81</v>
      </c>
      <c r="B12">
        <v>94</v>
      </c>
      <c r="C12" s="1">
        <v>0.52600000000000002</v>
      </c>
      <c r="D12" s="1">
        <v>0.33900000000000002</v>
      </c>
    </row>
    <row r="13" spans="1:4" x14ac:dyDescent="0.2">
      <c r="A13" s="5">
        <v>389.58</v>
      </c>
      <c r="B13">
        <v>94</v>
      </c>
      <c r="C13" s="1">
        <v>0.57599999999999996</v>
      </c>
      <c r="D13" s="1">
        <v>0.36399999999999999</v>
      </c>
    </row>
    <row r="14" spans="1:4" x14ac:dyDescent="0.2">
      <c r="A14" s="5">
        <v>390.08</v>
      </c>
      <c r="B14">
        <v>94</v>
      </c>
      <c r="C14" s="1">
        <v>0.59799999999999998</v>
      </c>
      <c r="D14" s="1">
        <v>0.376</v>
      </c>
    </row>
    <row r="15" spans="1:4" x14ac:dyDescent="0.2">
      <c r="A15" s="5">
        <v>390.8</v>
      </c>
      <c r="B15">
        <v>94</v>
      </c>
      <c r="C15" s="1">
        <v>0.63200000000000001</v>
      </c>
      <c r="D15" s="1">
        <v>0.39</v>
      </c>
    </row>
    <row r="16" spans="1:4" x14ac:dyDescent="0.2">
      <c r="A16" s="5">
        <v>391.75</v>
      </c>
      <c r="B16">
        <v>94</v>
      </c>
      <c r="C16" s="1">
        <v>0.69599999999999995</v>
      </c>
      <c r="D16" s="1">
        <v>0.437</v>
      </c>
    </row>
    <row r="17" spans="1:4" x14ac:dyDescent="0.2">
      <c r="A17" s="5">
        <v>392.72</v>
      </c>
      <c r="B17">
        <v>94</v>
      </c>
      <c r="C17" s="1">
        <v>0.74199999999999999</v>
      </c>
      <c r="D17" s="1">
        <v>0.48</v>
      </c>
    </row>
    <row r="18" spans="1:4" x14ac:dyDescent="0.2">
      <c r="A18" s="5">
        <v>394.12</v>
      </c>
      <c r="B18">
        <v>94</v>
      </c>
      <c r="C18" s="1">
        <v>0.78800000000000003</v>
      </c>
      <c r="D18" s="1">
        <v>0.52100000000000002</v>
      </c>
    </row>
    <row r="19" spans="1:4" x14ac:dyDescent="0.2">
      <c r="A19" s="5">
        <v>396.3</v>
      </c>
      <c r="B19">
        <v>94</v>
      </c>
      <c r="C19" s="1">
        <v>0.83599999999999997</v>
      </c>
      <c r="D19" s="1">
        <v>0.58199999999999996</v>
      </c>
    </row>
    <row r="20" spans="1:4" x14ac:dyDescent="0.2">
      <c r="A20" s="5">
        <v>398.66</v>
      </c>
      <c r="B20">
        <v>94</v>
      </c>
      <c r="C20" s="1">
        <v>0.88400000000000001</v>
      </c>
      <c r="D20" s="1">
        <v>0.66100000000000003</v>
      </c>
    </row>
    <row r="21" spans="1:4" x14ac:dyDescent="0.2">
      <c r="A21" s="3">
        <f>3329.56/(8.54371-LOG10(B21))-95.97533</f>
        <v>410.76211362576788</v>
      </c>
      <c r="B21">
        <v>94</v>
      </c>
      <c r="C21" s="1">
        <v>1</v>
      </c>
      <c r="D21" s="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EA801-0B28-5E4A-B72D-2F7D80204E53}">
  <sheetPr>
    <tabColor rgb="FFFFC000"/>
  </sheetPr>
  <dimension ref="A1:C14"/>
  <sheetViews>
    <sheetView tabSelected="1" workbookViewId="0">
      <selection activeCell="K17" sqref="K17"/>
    </sheetView>
  </sheetViews>
  <sheetFormatPr baseColWidth="10" defaultRowHeight="16" x14ac:dyDescent="0.2"/>
  <sheetData>
    <row r="1" spans="1:3" x14ac:dyDescent="0.2">
      <c r="A1" t="s">
        <v>0</v>
      </c>
      <c r="B1" s="2" t="s">
        <v>10</v>
      </c>
      <c r="C1" s="2"/>
    </row>
    <row r="2" spans="1:3" x14ac:dyDescent="0.2">
      <c r="A2" s="1">
        <v>0</v>
      </c>
      <c r="B2">
        <v>2.5880000000000001</v>
      </c>
    </row>
    <row r="3" spans="1:3" x14ac:dyDescent="0.2">
      <c r="A3" s="1">
        <v>4.3999999999999997E-2</v>
      </c>
      <c r="B3">
        <v>2.3010000000000002</v>
      </c>
    </row>
    <row r="4" spans="1:3" x14ac:dyDescent="0.2">
      <c r="A4" s="1">
        <v>9.7000000000000003E-2</v>
      </c>
      <c r="B4">
        <v>1.9810000000000001</v>
      </c>
    </row>
    <row r="5" spans="1:3" x14ac:dyDescent="0.2">
      <c r="A5" s="1">
        <v>0.19500000000000001</v>
      </c>
      <c r="B5">
        <v>1.5640000000000001</v>
      </c>
    </row>
    <row r="6" spans="1:3" x14ac:dyDescent="0.2">
      <c r="A6" s="1">
        <v>0.30299999999999999</v>
      </c>
      <c r="B6">
        <v>1.252</v>
      </c>
    </row>
    <row r="7" spans="1:3" x14ac:dyDescent="0.2">
      <c r="A7" s="1">
        <v>0.41399999999999998</v>
      </c>
      <c r="B7">
        <v>1.038</v>
      </c>
    </row>
    <row r="8" spans="1:3" x14ac:dyDescent="0.2">
      <c r="A8" s="1">
        <v>0.52300000000000002</v>
      </c>
      <c r="B8">
        <v>0.89100000000000001</v>
      </c>
    </row>
    <row r="9" spans="1:3" x14ac:dyDescent="0.2">
      <c r="A9" s="1">
        <v>0.60199999999999998</v>
      </c>
      <c r="B9">
        <v>0.81299999999999994</v>
      </c>
    </row>
    <row r="10" spans="1:3" x14ac:dyDescent="0.2">
      <c r="A10" s="1">
        <v>0.70599999999999996</v>
      </c>
      <c r="B10">
        <v>0.73699999999999999</v>
      </c>
    </row>
    <row r="11" spans="1:3" x14ac:dyDescent="0.2">
      <c r="A11" s="1">
        <v>0.81100000000000005</v>
      </c>
      <c r="B11">
        <v>0.68100000000000005</v>
      </c>
    </row>
    <row r="12" spans="1:3" x14ac:dyDescent="0.2">
      <c r="A12" s="1">
        <v>0.9</v>
      </c>
      <c r="B12">
        <v>0.64600000000000002</v>
      </c>
    </row>
    <row r="13" spans="1:3" x14ac:dyDescent="0.2">
      <c r="A13" s="1">
        <v>0.94499999999999995</v>
      </c>
      <c r="B13">
        <v>0.63300000000000001</v>
      </c>
    </row>
    <row r="14" spans="1:3" x14ac:dyDescent="0.2">
      <c r="A14" s="1">
        <v>1</v>
      </c>
      <c r="B14">
        <v>0.624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17345-C27F-4226-9FA1-904750B419B4}">
  <sheetPr>
    <tabColor rgb="FFFFC000"/>
  </sheetPr>
  <dimension ref="A1:B240"/>
  <sheetViews>
    <sheetView workbookViewId="0">
      <selection activeCell="K17" sqref="K17"/>
    </sheetView>
  </sheetViews>
  <sheetFormatPr baseColWidth="10" defaultRowHeight="16" x14ac:dyDescent="0.2"/>
  <sheetData>
    <row r="1" spans="1:2" x14ac:dyDescent="0.2">
      <c r="A1" t="s">
        <v>2</v>
      </c>
      <c r="B1" s="2" t="s">
        <v>1</v>
      </c>
    </row>
    <row r="2" spans="1:2" x14ac:dyDescent="0.2">
      <c r="A2">
        <v>243.15</v>
      </c>
      <c r="B2">
        <v>1.7336</v>
      </c>
    </row>
    <row r="3" spans="1:2" x14ac:dyDescent="0.2">
      <c r="A3">
        <v>253.15</v>
      </c>
      <c r="B3">
        <v>1.3786</v>
      </c>
    </row>
    <row r="4" spans="1:2" x14ac:dyDescent="0.2">
      <c r="A4">
        <v>263.14999999999998</v>
      </c>
      <c r="B4">
        <v>1.1255999999999999</v>
      </c>
    </row>
    <row r="5" spans="1:2" x14ac:dyDescent="0.2">
      <c r="A5">
        <v>273.14999999999998</v>
      </c>
      <c r="B5" s="4">
        <v>0.94199999999999995</v>
      </c>
    </row>
    <row r="6" spans="1:2" x14ac:dyDescent="0.2">
      <c r="A6">
        <v>283.14999999999998</v>
      </c>
      <c r="B6">
        <v>0.80320000000000003</v>
      </c>
    </row>
    <row r="7" spans="1:2" x14ac:dyDescent="0.2">
      <c r="A7">
        <v>293.14999999999998</v>
      </c>
      <c r="B7">
        <v>0.69059999999999999</v>
      </c>
    </row>
    <row r="8" spans="1:2" x14ac:dyDescent="0.2">
      <c r="A8">
        <v>303.14999999999998</v>
      </c>
      <c r="B8" s="4">
        <v>0.60799999999999998</v>
      </c>
    </row>
    <row r="9" spans="1:2" x14ac:dyDescent="0.2">
      <c r="A9">
        <v>313.14999999999998</v>
      </c>
      <c r="B9">
        <v>0.53879999999999995</v>
      </c>
    </row>
    <row r="10" spans="1:2" x14ac:dyDescent="0.2">
      <c r="A10">
        <v>323.14999999999998</v>
      </c>
      <c r="B10">
        <v>0.48049999999999998</v>
      </c>
    </row>
    <row r="11" spans="1:2" x14ac:dyDescent="0.2">
      <c r="A11">
        <v>333.15</v>
      </c>
      <c r="B11">
        <v>0.43259999999999998</v>
      </c>
    </row>
    <row r="12" spans="1:2" x14ac:dyDescent="0.2">
      <c r="A12">
        <v>343.15</v>
      </c>
      <c r="B12">
        <v>0.39140000000000003</v>
      </c>
    </row>
    <row r="13" spans="1:2" x14ac:dyDescent="0.2">
      <c r="A13">
        <v>353.15</v>
      </c>
      <c r="B13">
        <v>0.3538</v>
      </c>
    </row>
    <row r="14" spans="1:2" x14ac:dyDescent="0.2">
      <c r="A14">
        <v>363.15</v>
      </c>
      <c r="B14">
        <v>0.3236</v>
      </c>
    </row>
    <row r="15" spans="1:2" x14ac:dyDescent="0.2">
      <c r="A15">
        <v>373.15</v>
      </c>
      <c r="B15">
        <v>0.2954</v>
      </c>
    </row>
    <row r="16" spans="1:2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7"/>
    </row>
    <row r="98" spans="2:2" x14ac:dyDescent="0.2">
      <c r="B98" s="7"/>
    </row>
    <row r="99" spans="2:2" x14ac:dyDescent="0.2">
      <c r="B99" s="7"/>
    </row>
    <row r="100" spans="2:2" x14ac:dyDescent="0.2">
      <c r="B100" s="7"/>
    </row>
    <row r="101" spans="2:2" x14ac:dyDescent="0.2">
      <c r="B101" s="7"/>
    </row>
    <row r="102" spans="2:2" x14ac:dyDescent="0.2">
      <c r="B102" s="7"/>
    </row>
    <row r="103" spans="2:2" x14ac:dyDescent="0.2">
      <c r="B103" s="7"/>
    </row>
    <row r="104" spans="2:2" x14ac:dyDescent="0.2">
      <c r="B104" s="7"/>
    </row>
    <row r="105" spans="2:2" x14ac:dyDescent="0.2">
      <c r="B105" s="7"/>
    </row>
    <row r="106" spans="2:2" x14ac:dyDescent="0.2">
      <c r="B106" s="7"/>
    </row>
    <row r="107" spans="2:2" x14ac:dyDescent="0.2">
      <c r="B107" s="7"/>
    </row>
    <row r="108" spans="2:2" x14ac:dyDescent="0.2">
      <c r="B108" s="7"/>
    </row>
    <row r="109" spans="2:2" x14ac:dyDescent="0.2">
      <c r="B109" s="7"/>
    </row>
    <row r="110" spans="2:2" x14ac:dyDescent="0.2">
      <c r="B110" s="7"/>
    </row>
    <row r="111" spans="2:2" x14ac:dyDescent="0.2">
      <c r="B111" s="7"/>
    </row>
    <row r="112" spans="2:2" x14ac:dyDescent="0.2">
      <c r="B112" s="7"/>
    </row>
    <row r="113" spans="2:2" x14ac:dyDescent="0.2">
      <c r="B113" s="7"/>
    </row>
    <row r="114" spans="2:2" x14ac:dyDescent="0.2">
      <c r="B114" s="7"/>
    </row>
    <row r="115" spans="2:2" x14ac:dyDescent="0.2">
      <c r="B115" s="7"/>
    </row>
    <row r="116" spans="2:2" x14ac:dyDescent="0.2">
      <c r="B116" s="7"/>
    </row>
    <row r="117" spans="2:2" x14ac:dyDescent="0.2">
      <c r="B117" s="7"/>
    </row>
    <row r="118" spans="2:2" x14ac:dyDescent="0.2">
      <c r="B118" s="7"/>
    </row>
    <row r="119" spans="2:2" x14ac:dyDescent="0.2">
      <c r="B119" s="7"/>
    </row>
    <row r="120" spans="2:2" x14ac:dyDescent="0.2">
      <c r="B120" s="7"/>
    </row>
    <row r="121" spans="2:2" x14ac:dyDescent="0.2">
      <c r="B121" s="7"/>
    </row>
    <row r="122" spans="2:2" x14ac:dyDescent="0.2">
      <c r="B122" s="7"/>
    </row>
    <row r="123" spans="2:2" x14ac:dyDescent="0.2">
      <c r="B123" s="7"/>
    </row>
    <row r="124" spans="2:2" x14ac:dyDescent="0.2">
      <c r="B124" s="7"/>
    </row>
    <row r="125" spans="2:2" x14ac:dyDescent="0.2">
      <c r="B125" s="7"/>
    </row>
    <row r="126" spans="2:2" x14ac:dyDescent="0.2">
      <c r="B126" s="7"/>
    </row>
    <row r="127" spans="2:2" x14ac:dyDescent="0.2">
      <c r="B127" s="7"/>
    </row>
    <row r="128" spans="2:2" x14ac:dyDescent="0.2">
      <c r="B128" s="7"/>
    </row>
    <row r="129" spans="2:2" x14ac:dyDescent="0.2">
      <c r="B129" s="7"/>
    </row>
    <row r="130" spans="2:2" x14ac:dyDescent="0.2">
      <c r="B130" s="7"/>
    </row>
    <row r="131" spans="2:2" x14ac:dyDescent="0.2">
      <c r="B131" s="7"/>
    </row>
    <row r="132" spans="2:2" x14ac:dyDescent="0.2">
      <c r="B132" s="7"/>
    </row>
    <row r="133" spans="2:2" x14ac:dyDescent="0.2">
      <c r="B133" s="7"/>
    </row>
    <row r="134" spans="2:2" x14ac:dyDescent="0.2">
      <c r="B134" s="7"/>
    </row>
    <row r="135" spans="2:2" x14ac:dyDescent="0.2">
      <c r="B135" s="7"/>
    </row>
    <row r="136" spans="2:2" x14ac:dyDescent="0.2">
      <c r="B136" s="7"/>
    </row>
    <row r="137" spans="2:2" x14ac:dyDescent="0.2">
      <c r="B137" s="7"/>
    </row>
    <row r="138" spans="2:2" x14ac:dyDescent="0.2">
      <c r="B138" s="7"/>
    </row>
    <row r="139" spans="2:2" x14ac:dyDescent="0.2">
      <c r="B139" s="7"/>
    </row>
    <row r="140" spans="2:2" x14ac:dyDescent="0.2">
      <c r="B140" s="7"/>
    </row>
    <row r="141" spans="2:2" x14ac:dyDescent="0.2">
      <c r="B141" s="7"/>
    </row>
    <row r="142" spans="2:2" x14ac:dyDescent="0.2">
      <c r="B142" s="7"/>
    </row>
    <row r="143" spans="2:2" x14ac:dyDescent="0.2">
      <c r="B143" s="7"/>
    </row>
    <row r="144" spans="2:2" x14ac:dyDescent="0.2">
      <c r="B144" s="7"/>
    </row>
    <row r="145" spans="2:2" x14ac:dyDescent="0.2">
      <c r="B145" s="7"/>
    </row>
    <row r="146" spans="2:2" x14ac:dyDescent="0.2">
      <c r="B146" s="7"/>
    </row>
    <row r="147" spans="2:2" x14ac:dyDescent="0.2">
      <c r="B147" s="7"/>
    </row>
    <row r="148" spans="2:2" x14ac:dyDescent="0.2">
      <c r="B148" s="7"/>
    </row>
    <row r="149" spans="2:2" x14ac:dyDescent="0.2">
      <c r="B149" s="7"/>
    </row>
    <row r="150" spans="2:2" x14ac:dyDescent="0.2">
      <c r="B150" s="7"/>
    </row>
    <row r="151" spans="2:2" x14ac:dyDescent="0.2">
      <c r="B151" s="7"/>
    </row>
    <row r="152" spans="2:2" x14ac:dyDescent="0.2">
      <c r="B152" s="7"/>
    </row>
    <row r="153" spans="2:2" x14ac:dyDescent="0.2">
      <c r="B153" s="7"/>
    </row>
    <row r="154" spans="2:2" x14ac:dyDescent="0.2">
      <c r="B154" s="7"/>
    </row>
    <row r="155" spans="2:2" x14ac:dyDescent="0.2">
      <c r="B155" s="7"/>
    </row>
    <row r="156" spans="2:2" x14ac:dyDescent="0.2">
      <c r="B156" s="7"/>
    </row>
    <row r="157" spans="2:2" x14ac:dyDescent="0.2">
      <c r="B157" s="7"/>
    </row>
    <row r="158" spans="2:2" x14ac:dyDescent="0.2">
      <c r="B158" s="7"/>
    </row>
    <row r="159" spans="2:2" x14ac:dyDescent="0.2">
      <c r="B159" s="7"/>
    </row>
    <row r="160" spans="2:2" x14ac:dyDescent="0.2">
      <c r="B160" s="7"/>
    </row>
    <row r="161" spans="2:2" x14ac:dyDescent="0.2">
      <c r="B161" s="7"/>
    </row>
    <row r="162" spans="2:2" x14ac:dyDescent="0.2">
      <c r="B162" s="7"/>
    </row>
    <row r="163" spans="2:2" x14ac:dyDescent="0.2">
      <c r="B163" s="7"/>
    </row>
    <row r="164" spans="2:2" x14ac:dyDescent="0.2">
      <c r="B164" s="7"/>
    </row>
    <row r="165" spans="2:2" x14ac:dyDescent="0.2">
      <c r="B165" s="7"/>
    </row>
    <row r="166" spans="2:2" x14ac:dyDescent="0.2">
      <c r="B166" s="7"/>
    </row>
    <row r="167" spans="2:2" x14ac:dyDescent="0.2">
      <c r="B167" s="7"/>
    </row>
    <row r="168" spans="2:2" x14ac:dyDescent="0.2">
      <c r="B168" s="7"/>
    </row>
    <row r="169" spans="2:2" x14ac:dyDescent="0.2">
      <c r="B169" s="7"/>
    </row>
    <row r="170" spans="2:2" x14ac:dyDescent="0.2">
      <c r="B170" s="7"/>
    </row>
    <row r="171" spans="2:2" x14ac:dyDescent="0.2">
      <c r="B171" s="7"/>
    </row>
    <row r="172" spans="2:2" x14ac:dyDescent="0.2">
      <c r="B172" s="7"/>
    </row>
    <row r="173" spans="2:2" x14ac:dyDescent="0.2">
      <c r="B173" s="7"/>
    </row>
    <row r="174" spans="2:2" x14ac:dyDescent="0.2">
      <c r="B174" s="7"/>
    </row>
    <row r="175" spans="2:2" x14ac:dyDescent="0.2">
      <c r="B175" s="7"/>
    </row>
    <row r="176" spans="2:2" x14ac:dyDescent="0.2">
      <c r="B176" s="7"/>
    </row>
    <row r="177" spans="2:2" x14ac:dyDescent="0.2">
      <c r="B177" s="7"/>
    </row>
    <row r="178" spans="2:2" x14ac:dyDescent="0.2">
      <c r="B178" s="7"/>
    </row>
    <row r="179" spans="2:2" x14ac:dyDescent="0.2">
      <c r="B179" s="7"/>
    </row>
    <row r="180" spans="2:2" x14ac:dyDescent="0.2">
      <c r="B180" s="7"/>
    </row>
    <row r="181" spans="2:2" x14ac:dyDescent="0.2">
      <c r="B181" s="7"/>
    </row>
    <row r="182" spans="2:2" x14ac:dyDescent="0.2">
      <c r="B182" s="7"/>
    </row>
    <row r="183" spans="2:2" x14ac:dyDescent="0.2">
      <c r="B183" s="7"/>
    </row>
    <row r="184" spans="2:2" x14ac:dyDescent="0.2">
      <c r="B184" s="7"/>
    </row>
    <row r="185" spans="2:2" x14ac:dyDescent="0.2">
      <c r="B185" s="7"/>
    </row>
    <row r="186" spans="2:2" x14ac:dyDescent="0.2">
      <c r="B186" s="7"/>
    </row>
    <row r="187" spans="2:2" x14ac:dyDescent="0.2">
      <c r="B187" s="7"/>
    </row>
    <row r="188" spans="2:2" x14ac:dyDescent="0.2">
      <c r="B188" s="7"/>
    </row>
    <row r="189" spans="2:2" x14ac:dyDescent="0.2">
      <c r="B189" s="7"/>
    </row>
    <row r="190" spans="2:2" x14ac:dyDescent="0.2">
      <c r="B190" s="7"/>
    </row>
    <row r="191" spans="2:2" x14ac:dyDescent="0.2">
      <c r="B191" s="7"/>
    </row>
    <row r="192" spans="2:2" x14ac:dyDescent="0.2">
      <c r="B192" s="7"/>
    </row>
    <row r="193" spans="2:2" x14ac:dyDescent="0.2">
      <c r="B193" s="7"/>
    </row>
    <row r="194" spans="2:2" x14ac:dyDescent="0.2">
      <c r="B194" s="7"/>
    </row>
    <row r="195" spans="2:2" x14ac:dyDescent="0.2">
      <c r="B195" s="7"/>
    </row>
    <row r="196" spans="2:2" x14ac:dyDescent="0.2">
      <c r="B196" s="7"/>
    </row>
    <row r="197" spans="2:2" x14ac:dyDescent="0.2">
      <c r="B197" s="7"/>
    </row>
    <row r="198" spans="2:2" x14ac:dyDescent="0.2">
      <c r="B198" s="7"/>
    </row>
    <row r="199" spans="2:2" x14ac:dyDescent="0.2">
      <c r="B199" s="7"/>
    </row>
    <row r="200" spans="2:2" x14ac:dyDescent="0.2">
      <c r="B200" s="7"/>
    </row>
    <row r="201" spans="2:2" x14ac:dyDescent="0.2">
      <c r="B201" s="7"/>
    </row>
    <row r="202" spans="2:2" x14ac:dyDescent="0.2">
      <c r="B202" s="7"/>
    </row>
    <row r="203" spans="2:2" x14ac:dyDescent="0.2">
      <c r="B203" s="7"/>
    </row>
    <row r="204" spans="2:2" x14ac:dyDescent="0.2">
      <c r="B204" s="7"/>
    </row>
    <row r="205" spans="2:2" x14ac:dyDescent="0.2">
      <c r="B205" s="7"/>
    </row>
    <row r="206" spans="2:2" x14ac:dyDescent="0.2">
      <c r="B206" s="7"/>
    </row>
    <row r="207" spans="2:2" x14ac:dyDescent="0.2">
      <c r="B207" s="7"/>
    </row>
    <row r="208" spans="2:2" x14ac:dyDescent="0.2">
      <c r="B208" s="7"/>
    </row>
    <row r="209" spans="2:2" x14ac:dyDescent="0.2">
      <c r="B209" s="7"/>
    </row>
    <row r="210" spans="2:2" x14ac:dyDescent="0.2">
      <c r="B210" s="7"/>
    </row>
    <row r="211" spans="2:2" x14ac:dyDescent="0.2">
      <c r="B211" s="7"/>
    </row>
    <row r="212" spans="2:2" x14ac:dyDescent="0.2">
      <c r="B212" s="7"/>
    </row>
    <row r="213" spans="2:2" x14ac:dyDescent="0.2">
      <c r="B213" s="7"/>
    </row>
    <row r="214" spans="2:2" x14ac:dyDescent="0.2">
      <c r="B214" s="7"/>
    </row>
    <row r="215" spans="2:2" x14ac:dyDescent="0.2">
      <c r="B215" s="7"/>
    </row>
    <row r="216" spans="2:2" x14ac:dyDescent="0.2">
      <c r="B216" s="7"/>
    </row>
    <row r="217" spans="2:2" x14ac:dyDescent="0.2">
      <c r="B217" s="7"/>
    </row>
    <row r="218" spans="2:2" x14ac:dyDescent="0.2">
      <c r="B218" s="7"/>
    </row>
    <row r="219" spans="2:2" x14ac:dyDescent="0.2">
      <c r="B219" s="7"/>
    </row>
    <row r="220" spans="2:2" x14ac:dyDescent="0.2">
      <c r="B220" s="7"/>
    </row>
    <row r="221" spans="2:2" x14ac:dyDescent="0.2">
      <c r="B221" s="7"/>
    </row>
    <row r="222" spans="2:2" x14ac:dyDescent="0.2">
      <c r="B222" s="7"/>
    </row>
    <row r="223" spans="2:2" x14ac:dyDescent="0.2">
      <c r="B223" s="7"/>
    </row>
    <row r="224" spans="2:2" x14ac:dyDescent="0.2">
      <c r="B224" s="7"/>
    </row>
    <row r="225" spans="2:2" x14ac:dyDescent="0.2">
      <c r="B225" s="7"/>
    </row>
    <row r="226" spans="2:2" x14ac:dyDescent="0.2">
      <c r="B226" s="7"/>
    </row>
    <row r="227" spans="2:2" x14ac:dyDescent="0.2">
      <c r="B227" s="7"/>
    </row>
    <row r="228" spans="2:2" x14ac:dyDescent="0.2">
      <c r="B228" s="7"/>
    </row>
    <row r="229" spans="2:2" x14ac:dyDescent="0.2">
      <c r="B229" s="7"/>
    </row>
    <row r="230" spans="2:2" x14ac:dyDescent="0.2">
      <c r="B230" s="7"/>
    </row>
    <row r="231" spans="2:2" x14ac:dyDescent="0.2">
      <c r="B231" s="7"/>
    </row>
    <row r="232" spans="2:2" x14ac:dyDescent="0.2">
      <c r="B232" s="7"/>
    </row>
    <row r="233" spans="2:2" x14ac:dyDescent="0.2">
      <c r="B233" s="7"/>
    </row>
    <row r="234" spans="2:2" x14ac:dyDescent="0.2">
      <c r="B234" s="7"/>
    </row>
    <row r="235" spans="2:2" x14ac:dyDescent="0.2">
      <c r="B235" s="7"/>
    </row>
    <row r="236" spans="2:2" x14ac:dyDescent="0.2">
      <c r="B236" s="7"/>
    </row>
    <row r="237" spans="2:2" x14ac:dyDescent="0.2">
      <c r="B237" s="7"/>
    </row>
    <row r="238" spans="2:2" x14ac:dyDescent="0.2">
      <c r="B238" s="7"/>
    </row>
    <row r="239" spans="2:2" x14ac:dyDescent="0.2">
      <c r="B239" s="7"/>
    </row>
    <row r="240" spans="2:2" x14ac:dyDescent="0.2">
      <c r="B240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CE22-A544-4A1A-AECA-65975584FB69}">
  <sheetPr>
    <tabColor rgb="FFFFC000"/>
  </sheetPr>
  <dimension ref="A1:B203"/>
  <sheetViews>
    <sheetView workbookViewId="0">
      <selection activeCell="E16" sqref="E16"/>
    </sheetView>
  </sheetViews>
  <sheetFormatPr baseColWidth="10" defaultRowHeight="16" x14ac:dyDescent="0.2"/>
  <sheetData>
    <row r="1" spans="1:2" x14ac:dyDescent="0.2">
      <c r="A1" t="s">
        <v>2</v>
      </c>
      <c r="B1" s="2" t="s">
        <v>1</v>
      </c>
    </row>
    <row r="2" spans="1:2" x14ac:dyDescent="0.2">
      <c r="A2">
        <v>298.14999999999998</v>
      </c>
      <c r="B2">
        <v>2.5709999999999997</v>
      </c>
    </row>
    <row r="3" spans="1:2" x14ac:dyDescent="0.2">
      <c r="A3">
        <v>303.14999999999998</v>
      </c>
      <c r="B3">
        <v>2.2629999999999999</v>
      </c>
    </row>
    <row r="4" spans="1:2" x14ac:dyDescent="0.2">
      <c r="A4">
        <v>313.14999999999998</v>
      </c>
      <c r="B4">
        <v>1.7734000000000001</v>
      </c>
    </row>
    <row r="5" spans="1:2" x14ac:dyDescent="0.2">
      <c r="A5">
        <v>323.14999999999998</v>
      </c>
      <c r="B5">
        <v>1.4098999999999999</v>
      </c>
    </row>
    <row r="6" spans="1:2" x14ac:dyDescent="0.2">
      <c r="A6">
        <v>333.15</v>
      </c>
      <c r="B6">
        <v>1.1356999999999999</v>
      </c>
    </row>
    <row r="7" spans="1:2" x14ac:dyDescent="0.2">
      <c r="A7">
        <v>343.15</v>
      </c>
      <c r="B7">
        <v>0.92599999999999993</v>
      </c>
    </row>
    <row r="8" spans="1:2" x14ac:dyDescent="0.2">
      <c r="A8">
        <v>353.15</v>
      </c>
      <c r="B8">
        <v>0.76300000000000001</v>
      </c>
    </row>
    <row r="9" spans="1:2" x14ac:dyDescent="0.2">
      <c r="A9">
        <v>363.15</v>
      </c>
      <c r="B9">
        <v>0.63500000000000001</v>
      </c>
    </row>
    <row r="10" spans="1:2" x14ac:dyDescent="0.2">
      <c r="A10">
        <v>373.15</v>
      </c>
      <c r="B10">
        <v>0.53399999999999992</v>
      </c>
    </row>
    <row r="11" spans="1:2" x14ac:dyDescent="0.2">
      <c r="A11">
        <v>383.15</v>
      </c>
      <c r="B11">
        <v>0.45199999999999996</v>
      </c>
    </row>
    <row r="12" spans="1:2" x14ac:dyDescent="0.2">
      <c r="A12">
        <v>388.15</v>
      </c>
      <c r="B12">
        <v>0.41699999999999998</v>
      </c>
    </row>
    <row r="13" spans="1:2" x14ac:dyDescent="0.2">
      <c r="B13" s="3"/>
    </row>
    <row r="14" spans="1:2" x14ac:dyDescent="0.2">
      <c r="B14" s="3"/>
    </row>
    <row r="15" spans="1:2" x14ac:dyDescent="0.2">
      <c r="B15" s="3"/>
    </row>
    <row r="16" spans="1:2" x14ac:dyDescent="0.2">
      <c r="B16" s="3"/>
    </row>
    <row r="17" spans="2:2" x14ac:dyDescent="0.2">
      <c r="B17" s="1"/>
    </row>
    <row r="18" spans="2:2" x14ac:dyDescent="0.2">
      <c r="B18" s="1"/>
    </row>
    <row r="19" spans="2:2" x14ac:dyDescent="0.2">
      <c r="B19" s="1"/>
    </row>
    <row r="20" spans="2:2" x14ac:dyDescent="0.2">
      <c r="B20" s="1"/>
    </row>
    <row r="21" spans="2:2" x14ac:dyDescent="0.2">
      <c r="B21" s="1"/>
    </row>
    <row r="22" spans="2:2" x14ac:dyDescent="0.2">
      <c r="B22" s="1"/>
    </row>
    <row r="23" spans="2:2" x14ac:dyDescent="0.2">
      <c r="B23" s="1"/>
    </row>
    <row r="24" spans="2:2" x14ac:dyDescent="0.2">
      <c r="B24" s="1"/>
    </row>
    <row r="25" spans="2:2" x14ac:dyDescent="0.2">
      <c r="B25" s="1"/>
    </row>
    <row r="26" spans="2:2" x14ac:dyDescent="0.2">
      <c r="B26" s="1"/>
    </row>
    <row r="27" spans="2:2" x14ac:dyDescent="0.2">
      <c r="B27" s="1"/>
    </row>
    <row r="28" spans="2:2" x14ac:dyDescent="0.2">
      <c r="B28" s="1"/>
    </row>
    <row r="29" spans="2:2" x14ac:dyDescent="0.2">
      <c r="B29" s="1"/>
    </row>
    <row r="30" spans="2:2" x14ac:dyDescent="0.2">
      <c r="B30" s="1"/>
    </row>
    <row r="31" spans="2:2" x14ac:dyDescent="0.2">
      <c r="B31" s="1"/>
    </row>
    <row r="32" spans="2:2" x14ac:dyDescent="0.2">
      <c r="B32" s="1"/>
    </row>
    <row r="33" spans="2:2" x14ac:dyDescent="0.2">
      <c r="B33" s="1"/>
    </row>
    <row r="34" spans="2:2" x14ac:dyDescent="0.2">
      <c r="B34" s="1"/>
    </row>
    <row r="35" spans="2:2" x14ac:dyDescent="0.2">
      <c r="B35" s="1"/>
    </row>
    <row r="36" spans="2:2" x14ac:dyDescent="0.2">
      <c r="B36" s="1"/>
    </row>
    <row r="37" spans="2:2" x14ac:dyDescent="0.2">
      <c r="B37" s="1"/>
    </row>
    <row r="38" spans="2:2" x14ac:dyDescent="0.2">
      <c r="B38" s="1"/>
    </row>
    <row r="39" spans="2:2" x14ac:dyDescent="0.2">
      <c r="B39" s="1"/>
    </row>
    <row r="40" spans="2:2" x14ac:dyDescent="0.2">
      <c r="B40" s="1"/>
    </row>
    <row r="41" spans="2:2" x14ac:dyDescent="0.2">
      <c r="B41" s="1"/>
    </row>
    <row r="42" spans="2:2" x14ac:dyDescent="0.2">
      <c r="B42" s="1"/>
    </row>
    <row r="43" spans="2:2" x14ac:dyDescent="0.2">
      <c r="B43" s="1"/>
    </row>
    <row r="44" spans="2:2" x14ac:dyDescent="0.2">
      <c r="B44" s="1"/>
    </row>
    <row r="45" spans="2:2" x14ac:dyDescent="0.2">
      <c r="B45" s="1"/>
    </row>
    <row r="46" spans="2:2" x14ac:dyDescent="0.2">
      <c r="B46" s="1"/>
    </row>
    <row r="47" spans="2:2" x14ac:dyDescent="0.2">
      <c r="B47" s="1"/>
    </row>
    <row r="48" spans="2:2" x14ac:dyDescent="0.2">
      <c r="B48" s="1"/>
    </row>
    <row r="49" spans="2:2" x14ac:dyDescent="0.2">
      <c r="B49" s="1"/>
    </row>
    <row r="50" spans="2:2" x14ac:dyDescent="0.2">
      <c r="B50" s="1"/>
    </row>
    <row r="51" spans="2:2" x14ac:dyDescent="0.2">
      <c r="B51" s="1"/>
    </row>
    <row r="52" spans="2:2" x14ac:dyDescent="0.2">
      <c r="B52" s="1"/>
    </row>
    <row r="53" spans="2:2" x14ac:dyDescent="0.2">
      <c r="B53" s="1"/>
    </row>
    <row r="54" spans="2:2" x14ac:dyDescent="0.2">
      <c r="B54" s="1"/>
    </row>
    <row r="55" spans="2:2" x14ac:dyDescent="0.2">
      <c r="B55" s="1"/>
    </row>
    <row r="56" spans="2:2" x14ac:dyDescent="0.2">
      <c r="B56" s="1"/>
    </row>
    <row r="57" spans="2:2" x14ac:dyDescent="0.2">
      <c r="B57" s="1"/>
    </row>
    <row r="58" spans="2:2" x14ac:dyDescent="0.2">
      <c r="B58" s="1"/>
    </row>
    <row r="59" spans="2:2" x14ac:dyDescent="0.2">
      <c r="B59" s="1"/>
    </row>
    <row r="60" spans="2:2" x14ac:dyDescent="0.2">
      <c r="B60" s="1"/>
    </row>
    <row r="61" spans="2:2" x14ac:dyDescent="0.2">
      <c r="B61" s="1"/>
    </row>
    <row r="62" spans="2:2" x14ac:dyDescent="0.2">
      <c r="B62" s="1"/>
    </row>
    <row r="63" spans="2:2" x14ac:dyDescent="0.2">
      <c r="B63" s="1"/>
    </row>
    <row r="64" spans="2:2" x14ac:dyDescent="0.2">
      <c r="B64" s="1"/>
    </row>
    <row r="65" spans="2:2" x14ac:dyDescent="0.2">
      <c r="B65" s="1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7"/>
    </row>
    <row r="154" spans="2:2" x14ac:dyDescent="0.2">
      <c r="B154" s="7"/>
    </row>
    <row r="155" spans="2:2" x14ac:dyDescent="0.2">
      <c r="B155" s="7"/>
    </row>
    <row r="156" spans="2:2" x14ac:dyDescent="0.2">
      <c r="B156" s="7"/>
    </row>
    <row r="157" spans="2:2" x14ac:dyDescent="0.2">
      <c r="B157" s="7"/>
    </row>
    <row r="158" spans="2:2" x14ac:dyDescent="0.2">
      <c r="B158" s="7"/>
    </row>
    <row r="159" spans="2:2" x14ac:dyDescent="0.2">
      <c r="B159" s="7"/>
    </row>
    <row r="160" spans="2:2" x14ac:dyDescent="0.2">
      <c r="B160" s="7"/>
    </row>
    <row r="161" spans="2:2" x14ac:dyDescent="0.2">
      <c r="B161" s="7"/>
    </row>
    <row r="162" spans="2:2" x14ac:dyDescent="0.2">
      <c r="B162" s="7"/>
    </row>
    <row r="163" spans="2:2" x14ac:dyDescent="0.2">
      <c r="B163" s="7"/>
    </row>
    <row r="164" spans="2:2" x14ac:dyDescent="0.2">
      <c r="B164" s="7"/>
    </row>
    <row r="165" spans="2:2" x14ac:dyDescent="0.2">
      <c r="B165" s="7"/>
    </row>
    <row r="166" spans="2:2" x14ac:dyDescent="0.2">
      <c r="B166" s="7"/>
    </row>
    <row r="167" spans="2:2" x14ac:dyDescent="0.2">
      <c r="B167" s="7"/>
    </row>
    <row r="168" spans="2:2" x14ac:dyDescent="0.2">
      <c r="B168" s="7"/>
    </row>
    <row r="169" spans="2:2" x14ac:dyDescent="0.2">
      <c r="B169" s="7"/>
    </row>
    <row r="170" spans="2:2" x14ac:dyDescent="0.2">
      <c r="B170" s="7"/>
    </row>
    <row r="171" spans="2:2" x14ac:dyDescent="0.2">
      <c r="B171" s="7"/>
    </row>
    <row r="172" spans="2:2" x14ac:dyDescent="0.2">
      <c r="B172" s="7"/>
    </row>
    <row r="173" spans="2:2" x14ac:dyDescent="0.2">
      <c r="B173" s="7"/>
    </row>
    <row r="174" spans="2:2" x14ac:dyDescent="0.2">
      <c r="B174" s="7"/>
    </row>
    <row r="175" spans="2:2" x14ac:dyDescent="0.2">
      <c r="B175" s="7"/>
    </row>
    <row r="176" spans="2:2" x14ac:dyDescent="0.2">
      <c r="B176" s="7"/>
    </row>
    <row r="177" spans="2:2" x14ac:dyDescent="0.2">
      <c r="B177" s="7"/>
    </row>
    <row r="178" spans="2:2" x14ac:dyDescent="0.2">
      <c r="B178" s="7"/>
    </row>
    <row r="179" spans="2:2" x14ac:dyDescent="0.2">
      <c r="B179" s="7"/>
    </row>
    <row r="180" spans="2:2" x14ac:dyDescent="0.2">
      <c r="B180" s="7"/>
    </row>
    <row r="181" spans="2:2" x14ac:dyDescent="0.2">
      <c r="B181" s="7"/>
    </row>
    <row r="182" spans="2:2" x14ac:dyDescent="0.2">
      <c r="B182" s="7"/>
    </row>
    <row r="183" spans="2:2" x14ac:dyDescent="0.2">
      <c r="B183" s="7"/>
    </row>
    <row r="184" spans="2:2" x14ac:dyDescent="0.2">
      <c r="B184" s="7"/>
    </row>
    <row r="185" spans="2:2" x14ac:dyDescent="0.2">
      <c r="B185" s="7"/>
    </row>
    <row r="186" spans="2:2" x14ac:dyDescent="0.2">
      <c r="B186" s="7"/>
    </row>
    <row r="187" spans="2:2" x14ac:dyDescent="0.2">
      <c r="B187" s="7"/>
    </row>
    <row r="188" spans="2:2" x14ac:dyDescent="0.2">
      <c r="B188" s="7"/>
    </row>
    <row r="189" spans="2:2" x14ac:dyDescent="0.2">
      <c r="B189" s="7"/>
    </row>
    <row r="190" spans="2:2" x14ac:dyDescent="0.2">
      <c r="B190" s="7"/>
    </row>
    <row r="191" spans="2:2" x14ac:dyDescent="0.2">
      <c r="B191" s="7"/>
    </row>
    <row r="192" spans="2:2" x14ac:dyDescent="0.2">
      <c r="B192" s="7"/>
    </row>
    <row r="193" spans="2:2" x14ac:dyDescent="0.2">
      <c r="B193" s="7"/>
    </row>
    <row r="194" spans="2:2" x14ac:dyDescent="0.2">
      <c r="B194" s="7"/>
    </row>
    <row r="195" spans="2:2" x14ac:dyDescent="0.2">
      <c r="B195" s="7"/>
    </row>
    <row r="196" spans="2:2" x14ac:dyDescent="0.2">
      <c r="B196" s="7"/>
    </row>
    <row r="197" spans="2:2" x14ac:dyDescent="0.2">
      <c r="B197" s="7"/>
    </row>
    <row r="198" spans="2:2" x14ac:dyDescent="0.2">
      <c r="B198" s="7"/>
    </row>
    <row r="199" spans="2:2" x14ac:dyDescent="0.2">
      <c r="B199" s="7"/>
    </row>
    <row r="200" spans="2:2" x14ac:dyDescent="0.2">
      <c r="B200" s="7"/>
    </row>
    <row r="201" spans="2:2" x14ac:dyDescent="0.2">
      <c r="B201" s="7"/>
    </row>
    <row r="202" spans="2:2" x14ac:dyDescent="0.2">
      <c r="B202" s="7"/>
    </row>
    <row r="203" spans="2:2" x14ac:dyDescent="0.2">
      <c r="B203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virial</vt:lpstr>
      <vt:lpstr>VLE_20</vt:lpstr>
      <vt:lpstr>VLE_50</vt:lpstr>
      <vt:lpstr>VLE_75</vt:lpstr>
      <vt:lpstr>VLE_94</vt:lpstr>
      <vt:lpstr>dyn_vis</vt:lpstr>
      <vt:lpstr>viscpure_1</vt:lpstr>
      <vt:lpstr>viscpure_2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Mejia, Andres</dc:creator>
  <cp:lastModifiedBy>Andres Mejia</cp:lastModifiedBy>
  <dcterms:created xsi:type="dcterms:W3CDTF">2024-03-06T11:32:47Z</dcterms:created>
  <dcterms:modified xsi:type="dcterms:W3CDTF">2025-03-14T01:58:21Z</dcterms:modified>
</cp:coreProperties>
</file>