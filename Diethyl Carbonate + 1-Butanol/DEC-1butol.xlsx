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op/python_lab/"/>
    </mc:Choice>
  </mc:AlternateContent>
  <xr:revisionPtr revIDLastSave="0" documentId="13_ncr:1_{08E07715-B510-9943-B4C5-5A98F2993F2C}" xr6:coauthVersionLast="47" xr6:coauthVersionMax="47" xr10:uidLastSave="{00000000-0000-0000-0000-000000000000}"/>
  <bookViews>
    <workbookView xWindow="0" yWindow="760" windowWidth="23260" windowHeight="12460" firstSheet="4" activeTab="13" xr2:uid="{93F3DE2A-5036-7F44-9B3F-D6FD6122EAA3}"/>
  </bookViews>
  <sheets>
    <sheet name="PV1" sheetId="11" r:id="rId1"/>
    <sheet name="PV2" sheetId="12" r:id="rId2"/>
    <sheet name="data1_psat1" sheetId="24" r:id="rId3"/>
    <sheet name="data2_psat1" sheetId="25" r:id="rId4"/>
    <sheet name="data3_psat1" sheetId="28" r:id="rId5"/>
    <sheet name="VLE50" sheetId="7" r:id="rId6"/>
    <sheet name="VLE75" sheetId="8" r:id="rId7"/>
    <sheet name="VLE94" sheetId="9" r:id="rId8"/>
    <sheet name="VLE101" sheetId="21" r:id="rId9"/>
    <sheet name="IFT" sheetId="6" r:id="rId10"/>
    <sheet name="VT" sheetId="22" r:id="rId11"/>
    <sheet name="DVIS" sheetId="10" r:id="rId12"/>
    <sheet name="dvis_can" sheetId="16" r:id="rId13"/>
    <sheet name="dvis_yang" sheetId="29" r:id="rId14"/>
    <sheet name="DVIS1" sheetId="13" r:id="rId15"/>
    <sheet name="DVIS2" sheetId="14" r:id="rId16"/>
    <sheet name="IFT1" sheetId="19" r:id="rId17"/>
    <sheet name="IFT2" sheetId="20" r:id="rId18"/>
    <sheet name="Sheet1" sheetId="15" r:id="rId19"/>
  </sheets>
  <definedNames>
    <definedName name="_xlnm._FilterDatabase" localSheetId="9" hidden="1">IFT!$A$1:$B$13</definedName>
    <definedName name="_xlnm._FilterDatabase" localSheetId="8" hidden="1">'VLE101'!$A$1:$D$33</definedName>
    <definedName name="_xlnm._FilterDatabase" localSheetId="5" hidden="1">'VLE50'!$A$1:$D$19</definedName>
    <definedName name="_xlnm._FilterDatabase" localSheetId="6" hidden="1">'VLE75'!$A$1:$D$20</definedName>
    <definedName name="_xlnm._FilterDatabase" localSheetId="7" hidden="1">'VLE94'!$A$1:$D$18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21" l="1"/>
  <c r="B3" i="22"/>
  <c r="B2" i="22"/>
  <c r="B2" i="19" l="1"/>
  <c r="D2" i="15"/>
  <c r="E2" i="15"/>
  <c r="F2" i="15"/>
  <c r="D3" i="15"/>
  <c r="E3" i="15"/>
  <c r="F3" i="15" s="1"/>
  <c r="D4" i="15"/>
  <c r="E4" i="15" s="1"/>
  <c r="F4" i="15" s="1"/>
  <c r="D5" i="15"/>
  <c r="E5" i="15" s="1"/>
  <c r="F5" i="15" s="1"/>
  <c r="D6" i="15"/>
  <c r="E6" i="15" s="1"/>
  <c r="F6" i="15" s="1"/>
  <c r="D7" i="15"/>
  <c r="E7" i="15"/>
  <c r="F7" i="15" s="1"/>
  <c r="D8" i="15"/>
  <c r="E8" i="15" s="1"/>
  <c r="F8" i="15" s="1"/>
  <c r="A20" i="7"/>
  <c r="A2" i="7"/>
  <c r="A20" i="8"/>
  <c r="A2" i="8"/>
  <c r="A18" i="9"/>
  <c r="A2" i="9"/>
</calcChain>
</file>

<file path=xl/sharedStrings.xml><?xml version="1.0" encoding="utf-8"?>
<sst xmlns="http://schemas.openxmlformats.org/spreadsheetml/2006/main" count="55" uniqueCount="11">
  <si>
    <t>T/K</t>
  </si>
  <si>
    <t>p/kPa</t>
  </si>
  <si>
    <t>x1</t>
  </si>
  <si>
    <t>y1</t>
  </si>
  <si>
    <t>st/mN.m</t>
  </si>
  <si>
    <t>dvis/mPa.s</t>
  </si>
  <si>
    <t>nu/mm2/s</t>
  </si>
  <si>
    <t>rho/g/cm3</t>
  </si>
  <si>
    <t>nu/cm2/s</t>
  </si>
  <si>
    <t>dvis/g/cm.s</t>
  </si>
  <si>
    <t>rhol/g.cm3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</si>
</sst>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000"/>
    <numFmt numFmtId="167" formatCode="0.000"/>
    <numFmt numFmtId="168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  <xf numFmtId="2" fontId="1" fillId="0" borderId="0" xfId="0" applyNumberFormat="1" applyFont="1"/>
    <xf numFmtId="167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E09C-2C3E-9145-AA27-775CD5451241}">
  <dimension ref="A1:B16"/>
  <sheetViews>
    <sheetView workbookViewId="0">
      <selection activeCell="D12" sqref="D12"/>
    </sheetView>
  </sheetViews>
  <sheetFormatPr baseColWidth="10" defaultColWidth="11.16406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6">
        <v>361.90999999999997</v>
      </c>
      <c r="B2">
        <v>30.01</v>
      </c>
    </row>
    <row r="3" spans="1:2" x14ac:dyDescent="0.2">
      <c r="A3" s="6">
        <v>366.24999999999994</v>
      </c>
      <c r="B3">
        <v>35.010000000000005</v>
      </c>
    </row>
    <row r="4" spans="1:2" x14ac:dyDescent="0.2">
      <c r="A4" s="6">
        <v>370.09</v>
      </c>
      <c r="B4">
        <v>40.010000000000005</v>
      </c>
    </row>
    <row r="5" spans="1:2" x14ac:dyDescent="0.2">
      <c r="A5" s="6">
        <v>373.53</v>
      </c>
      <c r="B5">
        <v>45.010000000000005</v>
      </c>
    </row>
    <row r="6" spans="1:2" x14ac:dyDescent="0.2">
      <c r="A6" s="6">
        <v>376.66999999999996</v>
      </c>
      <c r="B6">
        <v>50.010000000000005</v>
      </c>
    </row>
    <row r="7" spans="1:2" x14ac:dyDescent="0.2">
      <c r="A7" s="6">
        <v>379.53999999999996</v>
      </c>
      <c r="B7">
        <v>55.010000000000005</v>
      </c>
    </row>
    <row r="8" spans="1:2" x14ac:dyDescent="0.2">
      <c r="A8" s="6">
        <v>382.2</v>
      </c>
      <c r="B8">
        <v>60.010000000000005</v>
      </c>
    </row>
    <row r="9" spans="1:2" x14ac:dyDescent="0.2">
      <c r="A9" s="6">
        <v>384.68999999999994</v>
      </c>
      <c r="B9">
        <v>65.010000000000005</v>
      </c>
    </row>
    <row r="10" spans="1:2" x14ac:dyDescent="0.2">
      <c r="A10" s="6">
        <v>387.03</v>
      </c>
      <c r="B10">
        <v>70.010000000000005</v>
      </c>
    </row>
    <row r="11" spans="1:2" x14ac:dyDescent="0.2">
      <c r="A11" s="6">
        <v>389.2</v>
      </c>
      <c r="B11">
        <v>75.010000000000005</v>
      </c>
    </row>
    <row r="12" spans="1:2" x14ac:dyDescent="0.2">
      <c r="A12" s="6">
        <v>391.23999999999995</v>
      </c>
      <c r="B12">
        <v>80.010000000000005</v>
      </c>
    </row>
    <row r="13" spans="1:2" x14ac:dyDescent="0.2">
      <c r="A13" s="6">
        <v>393.17999999999995</v>
      </c>
      <c r="B13">
        <v>85.01</v>
      </c>
    </row>
    <row r="14" spans="1:2" x14ac:dyDescent="0.2">
      <c r="A14" s="6">
        <v>395.03</v>
      </c>
      <c r="B14">
        <v>90.01</v>
      </c>
    </row>
    <row r="15" spans="1:2" x14ac:dyDescent="0.2">
      <c r="A15" s="6">
        <v>396.83</v>
      </c>
      <c r="B15">
        <v>95.01</v>
      </c>
    </row>
    <row r="16" spans="1:2" x14ac:dyDescent="0.2">
      <c r="A16" s="6">
        <v>399.2</v>
      </c>
      <c r="B16">
        <v>100.97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EF07-5B11-1548-8233-9D3DB90C8E14}">
  <dimension ref="A1:B16"/>
  <sheetViews>
    <sheetView workbookViewId="0">
      <selection activeCell="D12" sqref="D12"/>
    </sheetView>
  </sheetViews>
  <sheetFormatPr baseColWidth="10" defaultColWidth="11.16406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6">
        <v>359.85999999999996</v>
      </c>
      <c r="B2" s="6">
        <v>30</v>
      </c>
    </row>
    <row r="3" spans="1:2" x14ac:dyDescent="0.2">
      <c r="A3" s="6">
        <v>363.39</v>
      </c>
      <c r="B3" s="6">
        <v>35</v>
      </c>
    </row>
    <row r="4" spans="1:2" x14ac:dyDescent="0.2">
      <c r="A4" s="6">
        <v>366.52</v>
      </c>
      <c r="B4" s="6">
        <v>40</v>
      </c>
    </row>
    <row r="5" spans="1:2" x14ac:dyDescent="0.2">
      <c r="A5" s="6">
        <v>369.35999999999996</v>
      </c>
      <c r="B5" s="6">
        <v>45</v>
      </c>
    </row>
    <row r="6" spans="1:2" x14ac:dyDescent="0.2">
      <c r="A6" s="6">
        <v>371.92999999999995</v>
      </c>
      <c r="B6" s="6">
        <v>50</v>
      </c>
    </row>
    <row r="7" spans="1:2" x14ac:dyDescent="0.2">
      <c r="A7" s="6">
        <v>374.30999999999995</v>
      </c>
      <c r="B7" s="6">
        <v>55</v>
      </c>
    </row>
    <row r="8" spans="1:2" x14ac:dyDescent="0.2">
      <c r="A8" s="6">
        <v>376.52</v>
      </c>
      <c r="B8" s="6">
        <v>60</v>
      </c>
    </row>
    <row r="9" spans="1:2" x14ac:dyDescent="0.2">
      <c r="A9" s="6">
        <v>378.52</v>
      </c>
      <c r="B9" s="6">
        <v>65</v>
      </c>
    </row>
    <row r="10" spans="1:2" x14ac:dyDescent="0.2">
      <c r="A10" s="6">
        <v>380.46999999999997</v>
      </c>
      <c r="B10" s="6">
        <v>70</v>
      </c>
    </row>
    <row r="11" spans="1:2" x14ac:dyDescent="0.2">
      <c r="A11" s="6">
        <v>382.29999999999995</v>
      </c>
      <c r="B11" s="6">
        <v>75</v>
      </c>
    </row>
    <row r="12" spans="1:2" x14ac:dyDescent="0.2">
      <c r="A12" s="6">
        <v>384.03999999999996</v>
      </c>
      <c r="B12" s="6">
        <v>80</v>
      </c>
    </row>
    <row r="13" spans="1:2" x14ac:dyDescent="0.2">
      <c r="A13" s="6">
        <v>385.69</v>
      </c>
      <c r="B13" s="6">
        <v>85</v>
      </c>
    </row>
    <row r="14" spans="1:2" x14ac:dyDescent="0.2">
      <c r="A14" s="6">
        <v>387.25</v>
      </c>
      <c r="B14" s="6">
        <v>90</v>
      </c>
    </row>
    <row r="15" spans="1:2" x14ac:dyDescent="0.2">
      <c r="A15" s="6">
        <v>388.75</v>
      </c>
      <c r="B15" s="6">
        <v>95</v>
      </c>
    </row>
    <row r="16" spans="1:2" x14ac:dyDescent="0.2">
      <c r="A16" s="6">
        <v>390.54999999999995</v>
      </c>
      <c r="B16" s="6">
        <v>101.33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D0C9-2364-4CBF-A314-263B0C26A805}">
  <dimension ref="A1:B54"/>
  <sheetViews>
    <sheetView workbookViewId="0">
      <selection sqref="A1:B1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6">
        <v>352.51</v>
      </c>
      <c r="B2" s="6">
        <v>21.28</v>
      </c>
    </row>
    <row r="3" spans="1:2" x14ac:dyDescent="0.2">
      <c r="A3" s="6">
        <v>355.37</v>
      </c>
      <c r="B3" s="6">
        <v>23.94</v>
      </c>
    </row>
    <row r="4" spans="1:2" x14ac:dyDescent="0.2">
      <c r="A4" s="6">
        <v>358.17999999999995</v>
      </c>
      <c r="B4" s="6">
        <v>26.6</v>
      </c>
    </row>
    <row r="5" spans="1:2" x14ac:dyDescent="0.2">
      <c r="A5" s="6">
        <v>360.75</v>
      </c>
      <c r="B5" s="6">
        <v>29.26</v>
      </c>
    </row>
    <row r="6" spans="1:2" x14ac:dyDescent="0.2">
      <c r="A6" s="6">
        <v>363.09</v>
      </c>
      <c r="B6" s="6">
        <v>31.92</v>
      </c>
    </row>
    <row r="7" spans="1:2" x14ac:dyDescent="0.2">
      <c r="A7" s="6">
        <v>365.22999999999996</v>
      </c>
      <c r="B7" s="6">
        <v>34.58</v>
      </c>
    </row>
    <row r="8" spans="1:2" x14ac:dyDescent="0.2">
      <c r="A8" s="6">
        <v>367.34999999999997</v>
      </c>
      <c r="B8" s="6">
        <v>37.24</v>
      </c>
    </row>
    <row r="9" spans="1:2" x14ac:dyDescent="0.2">
      <c r="A9" s="6">
        <v>369.34999999999997</v>
      </c>
      <c r="B9" s="6">
        <v>39.900000000000006</v>
      </c>
    </row>
    <row r="10" spans="1:2" x14ac:dyDescent="0.2">
      <c r="A10" s="6">
        <v>371.2</v>
      </c>
      <c r="B10" s="6">
        <v>42.56</v>
      </c>
    </row>
    <row r="11" spans="1:2" x14ac:dyDescent="0.2">
      <c r="A11" s="6">
        <v>372.97999999999996</v>
      </c>
      <c r="B11" s="6">
        <v>45.22</v>
      </c>
    </row>
    <row r="12" spans="1:2" x14ac:dyDescent="0.2">
      <c r="A12" s="6">
        <v>374.78</v>
      </c>
      <c r="B12" s="6">
        <v>47.88</v>
      </c>
    </row>
    <row r="13" spans="1:2" x14ac:dyDescent="0.2">
      <c r="A13" s="6">
        <v>376.30999999999995</v>
      </c>
      <c r="B13" s="6">
        <v>50.540000000000006</v>
      </c>
    </row>
    <row r="14" spans="1:2" x14ac:dyDescent="0.2">
      <c r="A14" s="6">
        <v>377.97999999999996</v>
      </c>
      <c r="B14" s="6">
        <v>53.2</v>
      </c>
    </row>
    <row r="15" spans="1:2" x14ac:dyDescent="0.2">
      <c r="A15" s="6">
        <v>379.40999999999997</v>
      </c>
      <c r="B15" s="6">
        <v>55.86</v>
      </c>
    </row>
    <row r="16" spans="1:2" x14ac:dyDescent="0.2">
      <c r="A16" s="6">
        <v>380.83</v>
      </c>
      <c r="B16" s="6">
        <v>58.52</v>
      </c>
    </row>
    <row r="17" spans="1:2" x14ac:dyDescent="0.2">
      <c r="A17" s="6">
        <v>382.28999999999996</v>
      </c>
      <c r="B17" s="6">
        <v>61.180000000000007</v>
      </c>
    </row>
    <row r="18" spans="1:2" x14ac:dyDescent="0.2">
      <c r="A18" s="6">
        <v>383.59999999999997</v>
      </c>
      <c r="B18" s="6">
        <v>63.84</v>
      </c>
    </row>
    <row r="19" spans="1:2" x14ac:dyDescent="0.2">
      <c r="A19" s="6">
        <v>384.89</v>
      </c>
      <c r="B19" s="6">
        <v>66.5</v>
      </c>
    </row>
    <row r="20" spans="1:2" x14ac:dyDescent="0.2">
      <c r="A20" s="6">
        <v>386.19</v>
      </c>
      <c r="B20" s="6">
        <v>69.16</v>
      </c>
    </row>
    <row r="21" spans="1:2" x14ac:dyDescent="0.2">
      <c r="A21" s="6">
        <v>387.46</v>
      </c>
      <c r="B21" s="6">
        <v>71.820000000000007</v>
      </c>
    </row>
    <row r="22" spans="1:2" x14ac:dyDescent="0.2">
      <c r="A22" s="6">
        <v>388.69</v>
      </c>
      <c r="B22" s="6">
        <v>74.48</v>
      </c>
    </row>
    <row r="23" spans="1:2" x14ac:dyDescent="0.2">
      <c r="A23" s="6">
        <v>389.76</v>
      </c>
      <c r="B23" s="6">
        <v>77.14</v>
      </c>
    </row>
    <row r="24" spans="1:2" x14ac:dyDescent="0.2">
      <c r="A24" s="6">
        <v>390.92999999999995</v>
      </c>
      <c r="B24" s="6">
        <v>79.800000000000011</v>
      </c>
    </row>
    <row r="25" spans="1:2" x14ac:dyDescent="0.2">
      <c r="A25" s="6">
        <v>392.07</v>
      </c>
      <c r="B25" s="6">
        <v>82.460000000000008</v>
      </c>
    </row>
    <row r="26" spans="1:2" x14ac:dyDescent="0.2">
      <c r="A26" s="6">
        <v>393.13</v>
      </c>
      <c r="B26" s="6">
        <v>85.12</v>
      </c>
    </row>
    <row r="27" spans="1:2" x14ac:dyDescent="0.2">
      <c r="A27" s="6">
        <v>394.21999999999997</v>
      </c>
      <c r="B27" s="6">
        <v>87.78</v>
      </c>
    </row>
    <row r="28" spans="1:2" x14ac:dyDescent="0.2">
      <c r="A28" s="6">
        <v>395.26</v>
      </c>
      <c r="B28" s="6">
        <v>90.44</v>
      </c>
    </row>
    <row r="29" spans="1:2" x14ac:dyDescent="0.2">
      <c r="A29" s="6">
        <v>396.47999999999996</v>
      </c>
      <c r="B29" s="6">
        <v>93.100000000000009</v>
      </c>
    </row>
    <row r="30" spans="1:2" x14ac:dyDescent="0.2">
      <c r="A30" s="6">
        <v>397.32</v>
      </c>
      <c r="B30" s="6">
        <v>95.76</v>
      </c>
    </row>
    <row r="31" spans="1:2" x14ac:dyDescent="0.2">
      <c r="A31" s="6">
        <v>398.44</v>
      </c>
      <c r="B31" s="6">
        <v>98.42</v>
      </c>
    </row>
    <row r="32" spans="1:2" x14ac:dyDescent="0.2">
      <c r="A32" s="6">
        <v>399.32</v>
      </c>
      <c r="B32" s="6">
        <v>101.08000000000001</v>
      </c>
    </row>
    <row r="33" spans="1:2" x14ac:dyDescent="0.2">
      <c r="A33" s="6">
        <v>400.2</v>
      </c>
      <c r="B33" s="6">
        <v>103.74000000000001</v>
      </c>
    </row>
    <row r="34" spans="1:2" x14ac:dyDescent="0.2">
      <c r="A34" s="6">
        <v>401.09</v>
      </c>
      <c r="B34" s="6">
        <v>106.4</v>
      </c>
    </row>
    <row r="35" spans="1:2" x14ac:dyDescent="0.2">
      <c r="A35" s="6">
        <v>401.93999999999994</v>
      </c>
      <c r="B35" s="6">
        <v>109.06</v>
      </c>
    </row>
    <row r="36" spans="1:2" x14ac:dyDescent="0.2">
      <c r="A36" s="6">
        <v>402.78</v>
      </c>
      <c r="B36" s="6">
        <v>111.72</v>
      </c>
    </row>
    <row r="37" spans="1:2" x14ac:dyDescent="0.2">
      <c r="A37" s="6">
        <v>403.62</v>
      </c>
      <c r="B37" s="6">
        <v>114.38000000000001</v>
      </c>
    </row>
    <row r="38" spans="1:2" x14ac:dyDescent="0.2">
      <c r="A38" s="6">
        <v>404.46</v>
      </c>
      <c r="B38" s="6">
        <v>117.04</v>
      </c>
    </row>
    <row r="39" spans="1:2" x14ac:dyDescent="0.2">
      <c r="A39" s="6">
        <v>405.21999999999997</v>
      </c>
      <c r="B39" s="6">
        <v>119.7</v>
      </c>
    </row>
    <row r="40" spans="1:2" x14ac:dyDescent="0.2">
      <c r="A40" s="6">
        <v>406.02</v>
      </c>
      <c r="B40" s="6">
        <v>122.36000000000001</v>
      </c>
    </row>
    <row r="41" spans="1:2" x14ac:dyDescent="0.2">
      <c r="A41" s="6">
        <v>406.78</v>
      </c>
      <c r="B41" s="6">
        <v>125.02000000000001</v>
      </c>
    </row>
    <row r="42" spans="1:2" x14ac:dyDescent="0.2">
      <c r="A42" s="6">
        <v>407.53999999999996</v>
      </c>
      <c r="B42" s="6">
        <v>127.68</v>
      </c>
    </row>
    <row r="43" spans="1:2" x14ac:dyDescent="0.2">
      <c r="A43" s="6">
        <v>408.28999999999996</v>
      </c>
      <c r="B43" s="6">
        <v>130.34</v>
      </c>
    </row>
    <row r="44" spans="1:2" x14ac:dyDescent="0.2">
      <c r="A44" s="6">
        <v>409.03</v>
      </c>
      <c r="B44" s="6">
        <v>133</v>
      </c>
    </row>
    <row r="45" spans="1:2" x14ac:dyDescent="0.2">
      <c r="A45" s="6">
        <v>409.71999999999997</v>
      </c>
      <c r="B45" s="6">
        <v>135.66</v>
      </c>
    </row>
    <row r="46" spans="1:2" x14ac:dyDescent="0.2">
      <c r="A46" s="6">
        <v>410.45</v>
      </c>
      <c r="B46" s="6">
        <v>138.32</v>
      </c>
    </row>
    <row r="47" spans="1:2" x14ac:dyDescent="0.2">
      <c r="A47" s="6">
        <v>411.15999999999997</v>
      </c>
      <c r="B47" s="6">
        <v>140.98000000000002</v>
      </c>
    </row>
    <row r="48" spans="1:2" x14ac:dyDescent="0.2">
      <c r="A48" s="6">
        <v>411.83</v>
      </c>
      <c r="B48" s="6">
        <v>143.64000000000001</v>
      </c>
    </row>
    <row r="49" spans="1:2" x14ac:dyDescent="0.2">
      <c r="A49" s="6">
        <v>413.02</v>
      </c>
      <c r="B49" s="6">
        <v>146.30000000000001</v>
      </c>
    </row>
    <row r="50" spans="1:2" x14ac:dyDescent="0.2">
      <c r="A50" s="6">
        <v>413.17999999999995</v>
      </c>
      <c r="B50" s="6">
        <v>148.96</v>
      </c>
    </row>
    <row r="51" spans="1:2" x14ac:dyDescent="0.2">
      <c r="A51" s="6">
        <v>413.75</v>
      </c>
      <c r="B51" s="6">
        <v>151.62</v>
      </c>
    </row>
    <row r="52" spans="1:2" x14ac:dyDescent="0.2">
      <c r="A52" s="6">
        <v>414.39</v>
      </c>
      <c r="B52" s="6">
        <v>154.28</v>
      </c>
    </row>
    <row r="53" spans="1:2" x14ac:dyDescent="0.2">
      <c r="A53" s="6">
        <v>415.03</v>
      </c>
      <c r="B53" s="6">
        <v>156.94</v>
      </c>
    </row>
    <row r="54" spans="1:2" x14ac:dyDescent="0.2">
      <c r="A54" s="6">
        <v>415.65</v>
      </c>
      <c r="B54" s="6">
        <v>159.60000000000002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F532-EBEE-478C-931B-FDAC443D17C0}">
  <dimension ref="A1:B34"/>
  <sheetViews>
    <sheetView workbookViewId="0">
      <selection activeCell="D6" sqref="D6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6">
        <v>354.68</v>
      </c>
      <c r="B2">
        <v>22.56</v>
      </c>
    </row>
    <row r="3" spans="1:2" x14ac:dyDescent="0.2">
      <c r="A3" s="6">
        <v>357.44</v>
      </c>
      <c r="B3">
        <v>25.03</v>
      </c>
    </row>
    <row r="4" spans="1:2" x14ac:dyDescent="0.2">
      <c r="A4" s="6">
        <v>359.95</v>
      </c>
      <c r="B4">
        <v>27.54</v>
      </c>
    </row>
    <row r="5" spans="1:2" x14ac:dyDescent="0.2">
      <c r="A5" s="6">
        <v>362.26</v>
      </c>
      <c r="B5">
        <v>29.99</v>
      </c>
    </row>
    <row r="6" spans="1:2" x14ac:dyDescent="0.2">
      <c r="A6" s="6">
        <v>364.46</v>
      </c>
      <c r="B6">
        <v>32.51</v>
      </c>
    </row>
    <row r="7" spans="1:2" x14ac:dyDescent="0.2">
      <c r="A7" s="6">
        <v>366.57</v>
      </c>
      <c r="B7">
        <v>35.049999999999997</v>
      </c>
    </row>
    <row r="8" spans="1:2" x14ac:dyDescent="0.2">
      <c r="A8" s="6">
        <v>368.45</v>
      </c>
      <c r="B8">
        <v>37.520000000000003</v>
      </c>
    </row>
    <row r="9" spans="1:2" x14ac:dyDescent="0.2">
      <c r="A9" s="6">
        <v>370.28</v>
      </c>
      <c r="B9">
        <v>40.03</v>
      </c>
    </row>
    <row r="10" spans="1:2" x14ac:dyDescent="0.2">
      <c r="A10" s="6">
        <v>372.04</v>
      </c>
      <c r="B10">
        <v>42.49</v>
      </c>
    </row>
    <row r="11" spans="1:2" x14ac:dyDescent="0.2">
      <c r="A11" s="6">
        <v>373.73</v>
      </c>
      <c r="B11">
        <v>45.05</v>
      </c>
    </row>
    <row r="12" spans="1:2" x14ac:dyDescent="0.2">
      <c r="A12" s="6">
        <v>375.26</v>
      </c>
      <c r="B12">
        <v>47.47</v>
      </c>
    </row>
    <row r="13" spans="1:2" x14ac:dyDescent="0.2">
      <c r="A13" s="6">
        <v>376.81</v>
      </c>
      <c r="B13">
        <v>50.04</v>
      </c>
    </row>
    <row r="14" spans="1:2" x14ac:dyDescent="0.2">
      <c r="A14" s="6">
        <v>378.22</v>
      </c>
      <c r="B14">
        <v>52.46</v>
      </c>
    </row>
    <row r="15" spans="1:2" x14ac:dyDescent="0.2">
      <c r="A15" s="6">
        <v>379.67</v>
      </c>
      <c r="B15">
        <v>55.03</v>
      </c>
    </row>
    <row r="16" spans="1:2" x14ac:dyDescent="0.2">
      <c r="A16" s="6">
        <v>381.03</v>
      </c>
      <c r="B16">
        <v>57.56</v>
      </c>
    </row>
    <row r="17" spans="1:2" x14ac:dyDescent="0.2">
      <c r="A17" s="6">
        <v>382.32</v>
      </c>
      <c r="B17">
        <v>59.95</v>
      </c>
    </row>
    <row r="18" spans="1:2" x14ac:dyDescent="0.2">
      <c r="A18" s="6">
        <v>383.6</v>
      </c>
      <c r="B18">
        <v>62.52</v>
      </c>
    </row>
    <row r="19" spans="1:2" x14ac:dyDescent="0.2">
      <c r="A19" s="6">
        <v>384.81</v>
      </c>
      <c r="B19">
        <v>64.97</v>
      </c>
    </row>
    <row r="20" spans="1:2" x14ac:dyDescent="0.2">
      <c r="A20" s="6">
        <v>385.98</v>
      </c>
      <c r="B20">
        <v>67.44</v>
      </c>
    </row>
    <row r="21" spans="1:2" x14ac:dyDescent="0.2">
      <c r="A21" s="6">
        <v>387.13</v>
      </c>
      <c r="B21">
        <v>70.02</v>
      </c>
    </row>
    <row r="22" spans="1:2" x14ac:dyDescent="0.2">
      <c r="A22" s="6">
        <v>388.28</v>
      </c>
      <c r="B22">
        <v>72.510000000000005</v>
      </c>
    </row>
    <row r="23" spans="1:2" x14ac:dyDescent="0.2">
      <c r="A23" s="6">
        <v>389.32</v>
      </c>
      <c r="B23">
        <v>74.959999999999994</v>
      </c>
    </row>
    <row r="24" spans="1:2" x14ac:dyDescent="0.2">
      <c r="A24" s="6">
        <v>390.35</v>
      </c>
      <c r="B24">
        <v>77.430000000000007</v>
      </c>
    </row>
    <row r="25" spans="1:2" x14ac:dyDescent="0.2">
      <c r="A25" s="6">
        <v>391.39</v>
      </c>
      <c r="B25">
        <v>79.97</v>
      </c>
    </row>
    <row r="26" spans="1:2" x14ac:dyDescent="0.2">
      <c r="A26" s="6">
        <v>392.45</v>
      </c>
      <c r="B26">
        <v>82.52</v>
      </c>
    </row>
    <row r="27" spans="1:2" x14ac:dyDescent="0.2">
      <c r="A27" s="6">
        <v>393.34</v>
      </c>
      <c r="B27">
        <v>84.84</v>
      </c>
    </row>
    <row r="28" spans="1:2" x14ac:dyDescent="0.2">
      <c r="A28" s="6">
        <v>394.36</v>
      </c>
      <c r="B28">
        <v>87.52</v>
      </c>
    </row>
    <row r="29" spans="1:2" x14ac:dyDescent="0.2">
      <c r="A29" s="6">
        <v>395.23</v>
      </c>
      <c r="B29">
        <v>89.81</v>
      </c>
    </row>
    <row r="30" spans="1:2" x14ac:dyDescent="0.2">
      <c r="A30" s="6">
        <v>396.21</v>
      </c>
      <c r="B30">
        <v>92.53</v>
      </c>
    </row>
    <row r="31" spans="1:2" x14ac:dyDescent="0.2">
      <c r="A31" s="6">
        <v>397.03</v>
      </c>
      <c r="B31">
        <v>94.89</v>
      </c>
    </row>
    <row r="32" spans="1:2" x14ac:dyDescent="0.2">
      <c r="A32" s="6">
        <v>397.96</v>
      </c>
      <c r="B32">
        <v>97.54</v>
      </c>
    </row>
    <row r="33" spans="1:2" x14ac:dyDescent="0.2">
      <c r="A33" s="6">
        <v>398.81</v>
      </c>
      <c r="B33">
        <v>100.03</v>
      </c>
    </row>
    <row r="34" spans="1:2" x14ac:dyDescent="0.2">
      <c r="A34" s="6">
        <v>399.27</v>
      </c>
      <c r="B34">
        <v>101.38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6789-DA72-47BD-82C8-71D35F851A17}">
  <dimension ref="A1:B22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343.77</v>
      </c>
      <c r="B2">
        <v>13.8</v>
      </c>
    </row>
    <row r="3" spans="1:2" x14ac:dyDescent="0.2">
      <c r="A3">
        <v>351.67</v>
      </c>
      <c r="B3">
        <v>19.3</v>
      </c>
    </row>
    <row r="4" spans="1:2" x14ac:dyDescent="0.2">
      <c r="A4">
        <v>355.63</v>
      </c>
      <c r="B4">
        <v>22.7</v>
      </c>
    </row>
    <row r="5" spans="1:2" x14ac:dyDescent="0.2">
      <c r="A5">
        <v>358.29</v>
      </c>
      <c r="B5">
        <v>26</v>
      </c>
    </row>
    <row r="6" spans="1:2" x14ac:dyDescent="0.2">
      <c r="A6">
        <v>363.84</v>
      </c>
      <c r="B6">
        <v>31.3</v>
      </c>
    </row>
    <row r="7" spans="1:2" x14ac:dyDescent="0.2">
      <c r="A7">
        <v>366.98</v>
      </c>
      <c r="B7">
        <v>35.200000000000003</v>
      </c>
    </row>
    <row r="8" spans="1:2" x14ac:dyDescent="0.2">
      <c r="A8">
        <v>369.75</v>
      </c>
      <c r="B8">
        <v>39.1</v>
      </c>
    </row>
    <row r="9" spans="1:2" x14ac:dyDescent="0.2">
      <c r="A9">
        <v>372.28</v>
      </c>
      <c r="B9">
        <v>42.8</v>
      </c>
    </row>
    <row r="10" spans="1:2" x14ac:dyDescent="0.2">
      <c r="A10">
        <v>374.61</v>
      </c>
      <c r="B10">
        <v>46.5</v>
      </c>
    </row>
    <row r="11" spans="1:2" x14ac:dyDescent="0.2">
      <c r="A11">
        <v>377.05</v>
      </c>
      <c r="B11">
        <v>50.5</v>
      </c>
    </row>
    <row r="12" spans="1:2" x14ac:dyDescent="0.2">
      <c r="A12">
        <v>379.59</v>
      </c>
      <c r="B12">
        <v>55</v>
      </c>
    </row>
    <row r="13" spans="1:2" x14ac:dyDescent="0.2">
      <c r="A13">
        <v>381.49</v>
      </c>
      <c r="B13">
        <v>58.8</v>
      </c>
    </row>
    <row r="14" spans="1:2" x14ac:dyDescent="0.2">
      <c r="A14">
        <v>383.37</v>
      </c>
      <c r="B14">
        <v>63.1</v>
      </c>
    </row>
    <row r="15" spans="1:2" x14ac:dyDescent="0.2">
      <c r="A15">
        <v>383.57</v>
      </c>
      <c r="B15">
        <v>63.5</v>
      </c>
    </row>
    <row r="16" spans="1:2" x14ac:dyDescent="0.2">
      <c r="A16">
        <v>386.18</v>
      </c>
      <c r="B16">
        <v>68.5</v>
      </c>
    </row>
    <row r="17" spans="1:2" x14ac:dyDescent="0.2">
      <c r="A17">
        <v>387.61</v>
      </c>
      <c r="B17">
        <v>72.8</v>
      </c>
    </row>
    <row r="18" spans="1:2" x14ac:dyDescent="0.2">
      <c r="A18">
        <v>390.35</v>
      </c>
      <c r="B18">
        <v>78.5</v>
      </c>
    </row>
    <row r="19" spans="1:2" x14ac:dyDescent="0.2">
      <c r="A19">
        <v>392.39</v>
      </c>
      <c r="B19">
        <v>84</v>
      </c>
    </row>
    <row r="20" spans="1:2" x14ac:dyDescent="0.2">
      <c r="A20">
        <v>393.93</v>
      </c>
      <c r="B20">
        <v>88.2</v>
      </c>
    </row>
    <row r="21" spans="1:2" x14ac:dyDescent="0.2">
      <c r="A21">
        <v>395.72</v>
      </c>
      <c r="B21">
        <v>93.4</v>
      </c>
    </row>
    <row r="22" spans="1:2" x14ac:dyDescent="0.2">
      <c r="A22">
        <v>398.28</v>
      </c>
      <c r="B22">
        <v>101.5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DBE0-66B2-BF4C-9760-3D1F875277AE}">
  <dimension ref="A1:D20"/>
  <sheetViews>
    <sheetView workbookViewId="0">
      <selection activeCell="F22" sqref="F22"/>
    </sheetView>
  </sheetViews>
  <sheetFormatPr baseColWidth="10" defaultColWidth="11.16406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6">
        <f>1285.522/(6.4552-LOG10(B2))+101.6256</f>
        <v>371.90731496583362</v>
      </c>
      <c r="B2" s="6">
        <v>50</v>
      </c>
      <c r="C2" s="7">
        <v>0</v>
      </c>
      <c r="D2" s="7">
        <v>0</v>
      </c>
    </row>
    <row r="3" spans="1:4" x14ac:dyDescent="0.2">
      <c r="A3" s="6">
        <v>369.91999999999996</v>
      </c>
      <c r="B3" s="6">
        <v>50</v>
      </c>
      <c r="C3" s="7">
        <v>0.14199999999999999</v>
      </c>
      <c r="D3" s="7">
        <v>0.19700000000000001</v>
      </c>
    </row>
    <row r="4" spans="1:4" x14ac:dyDescent="0.2">
      <c r="A4" s="6">
        <v>369.60999999999996</v>
      </c>
      <c r="B4" s="6">
        <v>50</v>
      </c>
      <c r="C4" s="7">
        <v>0.19700000000000001</v>
      </c>
      <c r="D4" s="7">
        <v>0.253</v>
      </c>
    </row>
    <row r="5" spans="1:4" x14ac:dyDescent="0.2">
      <c r="A5" s="6">
        <v>369.18999999999994</v>
      </c>
      <c r="B5" s="6">
        <v>50</v>
      </c>
      <c r="C5" s="7">
        <v>0.29699999999999999</v>
      </c>
      <c r="D5" s="7">
        <v>0.32900000000000001</v>
      </c>
    </row>
    <row r="6" spans="1:4" x14ac:dyDescent="0.2">
      <c r="A6" s="6">
        <v>369.07999999999993</v>
      </c>
      <c r="B6" s="6">
        <v>50</v>
      </c>
      <c r="C6" s="7">
        <v>0.34499999999999997</v>
      </c>
      <c r="D6" s="7">
        <v>0.35599999999999998</v>
      </c>
    </row>
    <row r="7" spans="1:4" x14ac:dyDescent="0.2">
      <c r="A7" s="6">
        <v>369.10999999999996</v>
      </c>
      <c r="B7" s="6">
        <v>50</v>
      </c>
      <c r="C7" s="7">
        <v>0.35399999999999998</v>
      </c>
      <c r="D7" s="7">
        <v>0.36399999999999999</v>
      </c>
    </row>
    <row r="8" spans="1:4" x14ac:dyDescent="0.2">
      <c r="A8" s="6">
        <v>369.02</v>
      </c>
      <c r="B8" s="6">
        <v>50</v>
      </c>
      <c r="C8" s="7">
        <v>0.39600000000000002</v>
      </c>
      <c r="D8" s="7">
        <v>0.39</v>
      </c>
    </row>
    <row r="9" spans="1:4" x14ac:dyDescent="0.2">
      <c r="A9" s="6">
        <v>369.09999999999997</v>
      </c>
      <c r="B9" s="6">
        <v>50</v>
      </c>
      <c r="C9" s="7">
        <v>0.44700000000000001</v>
      </c>
      <c r="D9" s="7">
        <v>0.42</v>
      </c>
    </row>
    <row r="10" spans="1:4" x14ac:dyDescent="0.2">
      <c r="A10" s="6">
        <v>369.26</v>
      </c>
      <c r="B10" s="6">
        <v>50</v>
      </c>
      <c r="C10" s="7">
        <v>0.5</v>
      </c>
      <c r="D10" s="7">
        <v>0.45300000000000001</v>
      </c>
    </row>
    <row r="11" spans="1:4" x14ac:dyDescent="0.2">
      <c r="A11" s="6">
        <v>369.4</v>
      </c>
      <c r="B11" s="6">
        <v>50</v>
      </c>
      <c r="C11" s="7">
        <v>0.54700000000000004</v>
      </c>
      <c r="D11" s="7">
        <v>0.48399999999999999</v>
      </c>
    </row>
    <row r="12" spans="1:4" x14ac:dyDescent="0.2">
      <c r="A12" s="6">
        <v>369.77</v>
      </c>
      <c r="B12" s="6">
        <v>50</v>
      </c>
      <c r="C12" s="7">
        <v>0.61399999999999999</v>
      </c>
      <c r="D12" s="7">
        <v>0.52600000000000002</v>
      </c>
    </row>
    <row r="13" spans="1:4" x14ac:dyDescent="0.2">
      <c r="A13" s="6">
        <v>369.90999999999997</v>
      </c>
      <c r="B13" s="6">
        <v>50</v>
      </c>
      <c r="C13" s="7">
        <v>0.65200000000000002</v>
      </c>
      <c r="D13" s="7">
        <v>0.55500000000000005</v>
      </c>
    </row>
    <row r="14" spans="1:4" x14ac:dyDescent="0.2">
      <c r="A14" s="6">
        <v>370.40999999999997</v>
      </c>
      <c r="B14" s="6">
        <v>50</v>
      </c>
      <c r="C14" s="7">
        <v>0.70699999999999996</v>
      </c>
      <c r="D14" s="7">
        <v>0.59299999999999997</v>
      </c>
    </row>
    <row r="15" spans="1:4" x14ac:dyDescent="0.2">
      <c r="A15" s="6">
        <v>370.85999999999996</v>
      </c>
      <c r="B15" s="6">
        <v>50</v>
      </c>
      <c r="C15" s="7">
        <v>0.76</v>
      </c>
      <c r="D15" s="7">
        <v>0.63900000000000001</v>
      </c>
    </row>
    <row r="16" spans="1:4" x14ac:dyDescent="0.2">
      <c r="A16" s="6">
        <v>371.42999999999995</v>
      </c>
      <c r="B16" s="6">
        <v>50</v>
      </c>
      <c r="C16" s="7">
        <v>0.80100000000000005</v>
      </c>
      <c r="D16" s="7">
        <v>0.68200000000000005</v>
      </c>
    </row>
    <row r="17" spans="1:4" x14ac:dyDescent="0.2">
      <c r="A17" s="6">
        <v>371.96999999999997</v>
      </c>
      <c r="B17" s="6">
        <v>50</v>
      </c>
      <c r="C17" s="7">
        <v>0.84099999999999997</v>
      </c>
      <c r="D17" s="7">
        <v>0.73399999999999999</v>
      </c>
    </row>
    <row r="18" spans="1:4" x14ac:dyDescent="0.2">
      <c r="A18" s="6">
        <v>373.23999999999995</v>
      </c>
      <c r="B18" s="6">
        <v>50</v>
      </c>
      <c r="C18" s="7">
        <v>0.88500000000000001</v>
      </c>
      <c r="D18" s="7">
        <v>0.79600000000000004</v>
      </c>
    </row>
    <row r="19" spans="1:4" x14ac:dyDescent="0.2">
      <c r="A19" s="6">
        <v>375.21</v>
      </c>
      <c r="B19" s="6">
        <v>50</v>
      </c>
      <c r="C19" s="7">
        <v>0.95499999999999996</v>
      </c>
      <c r="D19" s="7">
        <v>0.91400000000000003</v>
      </c>
    </row>
    <row r="20" spans="1:4" x14ac:dyDescent="0.2">
      <c r="A20" s="6">
        <f>2034.938/(7.12825-LOG10(B20))+1.83087</f>
        <v>376.63894798182719</v>
      </c>
      <c r="B20" s="6">
        <v>50</v>
      </c>
      <c r="C20" s="7">
        <v>1</v>
      </c>
      <c r="D20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BF50-DCC1-A044-B37D-E19278E1FC03}">
  <dimension ref="A1:D20"/>
  <sheetViews>
    <sheetView workbookViewId="0">
      <selection activeCell="A3" sqref="A3:XFD3"/>
    </sheetView>
  </sheetViews>
  <sheetFormatPr baseColWidth="10" defaultColWidth="11.16406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6">
        <f>1285.522/(6.4552-LOG10(B2))+101.6256</f>
        <v>382.29875728343183</v>
      </c>
      <c r="B2" s="6">
        <v>75</v>
      </c>
      <c r="C2" s="7">
        <v>0</v>
      </c>
      <c r="D2" s="7">
        <v>0</v>
      </c>
    </row>
    <row r="3" spans="1:4" x14ac:dyDescent="0.2">
      <c r="A3" s="6">
        <v>380.86999999999995</v>
      </c>
      <c r="B3" s="6">
        <v>75</v>
      </c>
      <c r="C3" s="7">
        <v>0.13600000000000001</v>
      </c>
      <c r="D3" s="7">
        <v>0.17599999999999999</v>
      </c>
    </row>
    <row r="4" spans="1:4" x14ac:dyDescent="0.2">
      <c r="A4" s="6">
        <v>380.60999999999996</v>
      </c>
      <c r="B4" s="6">
        <v>75</v>
      </c>
      <c r="C4" s="7">
        <v>0.20399999999999999</v>
      </c>
      <c r="D4" s="7">
        <v>0.23</v>
      </c>
    </row>
    <row r="5" spans="1:4" x14ac:dyDescent="0.2">
      <c r="A5" s="6">
        <v>380.30999999999995</v>
      </c>
      <c r="B5" s="6">
        <v>75</v>
      </c>
      <c r="C5" s="7">
        <v>0.29899999999999999</v>
      </c>
      <c r="D5" s="7">
        <v>0.30599999999999999</v>
      </c>
    </row>
    <row r="6" spans="1:4" x14ac:dyDescent="0.2">
      <c r="A6" s="6">
        <v>380.35999999999996</v>
      </c>
      <c r="B6" s="6">
        <v>75</v>
      </c>
      <c r="C6" s="7">
        <v>0.29899999999999999</v>
      </c>
      <c r="D6" s="7">
        <v>0.30399999999999999</v>
      </c>
    </row>
    <row r="7" spans="1:4" x14ac:dyDescent="0.2">
      <c r="A7" s="6">
        <v>380.29999999999995</v>
      </c>
      <c r="B7" s="6">
        <v>75</v>
      </c>
      <c r="C7" s="7">
        <v>0.34599999999999997</v>
      </c>
      <c r="D7" s="7">
        <v>0.33400000000000002</v>
      </c>
    </row>
    <row r="8" spans="1:4" x14ac:dyDescent="0.2">
      <c r="A8" s="6">
        <v>380.31999999999994</v>
      </c>
      <c r="B8" s="6">
        <v>75</v>
      </c>
      <c r="C8" s="7">
        <v>0.35599999999999998</v>
      </c>
      <c r="D8" s="7">
        <v>0.34200000000000003</v>
      </c>
    </row>
    <row r="9" spans="1:4" x14ac:dyDescent="0.2">
      <c r="A9" s="6">
        <v>380.35999999999996</v>
      </c>
      <c r="B9" s="6">
        <v>75</v>
      </c>
      <c r="C9" s="7">
        <v>0.39700000000000002</v>
      </c>
      <c r="D9" s="7">
        <v>0.36799999999999999</v>
      </c>
    </row>
    <row r="10" spans="1:4" x14ac:dyDescent="0.2">
      <c r="A10" s="6">
        <v>380.54999999999995</v>
      </c>
      <c r="B10" s="6">
        <v>75</v>
      </c>
      <c r="C10" s="7">
        <v>0.44800000000000001</v>
      </c>
      <c r="D10" s="7">
        <v>0.4</v>
      </c>
    </row>
    <row r="11" spans="1:4" x14ac:dyDescent="0.2">
      <c r="A11" s="6">
        <v>380.71</v>
      </c>
      <c r="B11" s="6">
        <v>75</v>
      </c>
      <c r="C11" s="7">
        <v>0.502</v>
      </c>
      <c r="D11" s="7">
        <v>0.436</v>
      </c>
    </row>
    <row r="12" spans="1:4" x14ac:dyDescent="0.2">
      <c r="A12" s="6">
        <v>380.88</v>
      </c>
      <c r="B12" s="6">
        <v>75</v>
      </c>
      <c r="C12" s="7">
        <v>0.55200000000000005</v>
      </c>
      <c r="D12" s="7">
        <v>0.46899999999999997</v>
      </c>
    </row>
    <row r="13" spans="1:4" x14ac:dyDescent="0.2">
      <c r="A13" s="6">
        <v>381.67999999999995</v>
      </c>
      <c r="B13" s="6">
        <v>75</v>
      </c>
      <c r="C13" s="7">
        <v>0.629</v>
      </c>
      <c r="D13" s="7">
        <v>0.52500000000000002</v>
      </c>
    </row>
    <row r="14" spans="1:4" x14ac:dyDescent="0.2">
      <c r="A14" s="6">
        <v>381.72999999999996</v>
      </c>
      <c r="B14" s="6">
        <v>75</v>
      </c>
      <c r="C14" s="7">
        <v>0.66</v>
      </c>
      <c r="D14" s="7">
        <v>0.54800000000000004</v>
      </c>
    </row>
    <row r="15" spans="1:4" x14ac:dyDescent="0.2">
      <c r="A15" s="6">
        <v>382.38</v>
      </c>
      <c r="B15" s="6">
        <v>75</v>
      </c>
      <c r="C15" s="7">
        <v>0.71599999999999997</v>
      </c>
      <c r="D15" s="7">
        <v>0.59499999999999997</v>
      </c>
    </row>
    <row r="16" spans="1:4" x14ac:dyDescent="0.2">
      <c r="A16" s="6">
        <v>382.89</v>
      </c>
      <c r="B16" s="6">
        <v>75</v>
      </c>
      <c r="C16" s="7">
        <v>0.76100000000000001</v>
      </c>
      <c r="D16" s="7">
        <v>0.63600000000000001</v>
      </c>
    </row>
    <row r="17" spans="1:4" x14ac:dyDescent="0.2">
      <c r="A17" s="6">
        <v>384.04999999999995</v>
      </c>
      <c r="B17" s="6">
        <v>75</v>
      </c>
      <c r="C17" s="7">
        <v>0.81699999999999995</v>
      </c>
      <c r="D17" s="7">
        <v>0.70099999999999996</v>
      </c>
    </row>
    <row r="18" spans="1:4" x14ac:dyDescent="0.2">
      <c r="A18" s="6">
        <v>385.01</v>
      </c>
      <c r="B18" s="6">
        <v>75</v>
      </c>
      <c r="C18" s="7">
        <v>0.85899999999999999</v>
      </c>
      <c r="D18" s="7">
        <v>0.75900000000000001</v>
      </c>
    </row>
    <row r="19" spans="1:4" x14ac:dyDescent="0.2">
      <c r="A19" s="6">
        <v>386.55999999999995</v>
      </c>
      <c r="B19" s="6">
        <v>75</v>
      </c>
      <c r="C19" s="7">
        <v>0.91500000000000004</v>
      </c>
      <c r="D19" s="7">
        <v>0.84099999999999997</v>
      </c>
    </row>
    <row r="20" spans="1:4" x14ac:dyDescent="0.2">
      <c r="A20" s="6">
        <f>2034.938/(7.12825-LOG10(B20))+1.83087</f>
        <v>389.20282673533887</v>
      </c>
      <c r="B20" s="6">
        <v>75</v>
      </c>
      <c r="C20" s="7">
        <v>1</v>
      </c>
      <c r="D20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48C7-1D10-F540-9774-DF84CC94F7A3}">
  <dimension ref="A1:D18"/>
  <sheetViews>
    <sheetView workbookViewId="0">
      <selection activeCell="A18" sqref="A18"/>
    </sheetView>
  </sheetViews>
  <sheetFormatPr baseColWidth="10" defaultColWidth="11.16406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6">
        <f>1285.522/(6.4552-LOG10(B2))+101.6256</f>
        <v>388.43981405330226</v>
      </c>
      <c r="B2" s="6">
        <v>94</v>
      </c>
      <c r="C2" s="7">
        <v>0</v>
      </c>
      <c r="D2" s="7">
        <v>0</v>
      </c>
    </row>
    <row r="3" spans="1:4" x14ac:dyDescent="0.2">
      <c r="A3" s="6">
        <v>387.29999999999995</v>
      </c>
      <c r="B3" s="6">
        <v>94</v>
      </c>
      <c r="C3" s="7">
        <v>0.13700000000000001</v>
      </c>
      <c r="D3" s="7">
        <v>0.16500000000000001</v>
      </c>
    </row>
    <row r="4" spans="1:4" x14ac:dyDescent="0.2">
      <c r="A4" s="6">
        <v>387.01</v>
      </c>
      <c r="B4" s="6">
        <v>94</v>
      </c>
      <c r="C4" s="7">
        <v>0.19800000000000001</v>
      </c>
      <c r="D4" s="7">
        <v>0.223</v>
      </c>
    </row>
    <row r="5" spans="1:4" x14ac:dyDescent="0.2">
      <c r="A5" s="6">
        <v>386.86</v>
      </c>
      <c r="B5" s="6">
        <v>94</v>
      </c>
      <c r="C5" s="7">
        <v>0.29799999999999999</v>
      </c>
      <c r="D5" s="7">
        <v>0.29299999999999998</v>
      </c>
    </row>
    <row r="6" spans="1:4" x14ac:dyDescent="0.2">
      <c r="A6" s="6">
        <v>386.97999999999996</v>
      </c>
      <c r="B6" s="6">
        <v>94</v>
      </c>
      <c r="C6" s="7">
        <v>0.34599999999999997</v>
      </c>
      <c r="D6" s="7">
        <v>0.32400000000000001</v>
      </c>
    </row>
    <row r="7" spans="1:4" x14ac:dyDescent="0.2">
      <c r="A7" s="6">
        <v>387.07999999999993</v>
      </c>
      <c r="B7" s="6">
        <v>94</v>
      </c>
      <c r="C7" s="7">
        <v>0.39900000000000002</v>
      </c>
      <c r="D7" s="7">
        <v>0.35899999999999999</v>
      </c>
    </row>
    <row r="8" spans="1:4" x14ac:dyDescent="0.2">
      <c r="A8" s="6">
        <v>387.3</v>
      </c>
      <c r="B8" s="6">
        <v>94</v>
      </c>
      <c r="C8" s="7">
        <v>0.45300000000000001</v>
      </c>
      <c r="D8" s="7">
        <v>0.39500000000000002</v>
      </c>
    </row>
    <row r="9" spans="1:4" x14ac:dyDescent="0.2">
      <c r="A9" s="6">
        <v>387.53</v>
      </c>
      <c r="B9" s="6">
        <v>94</v>
      </c>
      <c r="C9" s="7">
        <v>0.50600000000000001</v>
      </c>
      <c r="D9" s="7">
        <v>0.42899999999999999</v>
      </c>
    </row>
    <row r="10" spans="1:4" x14ac:dyDescent="0.2">
      <c r="A10" s="6">
        <v>387.93999999999994</v>
      </c>
      <c r="B10" s="6">
        <v>94</v>
      </c>
      <c r="C10" s="7">
        <v>0.56200000000000006</v>
      </c>
      <c r="D10" s="7">
        <v>0.47</v>
      </c>
    </row>
    <row r="11" spans="1:4" x14ac:dyDescent="0.2">
      <c r="A11" s="6">
        <v>388.48999999999995</v>
      </c>
      <c r="B11" s="6">
        <v>94</v>
      </c>
      <c r="C11" s="7">
        <v>0.61899999999999999</v>
      </c>
      <c r="D11" s="7">
        <v>0.51600000000000001</v>
      </c>
    </row>
    <row r="12" spans="1:4" x14ac:dyDescent="0.2">
      <c r="A12" s="6">
        <v>388.82999999999993</v>
      </c>
      <c r="B12" s="6">
        <v>94</v>
      </c>
      <c r="C12" s="7">
        <v>0.67</v>
      </c>
      <c r="D12" s="7">
        <v>0.55000000000000004</v>
      </c>
    </row>
    <row r="13" spans="1:4" x14ac:dyDescent="0.2">
      <c r="A13" s="6">
        <v>389.71999999999997</v>
      </c>
      <c r="B13" s="6">
        <v>94</v>
      </c>
      <c r="C13" s="7">
        <v>0.73</v>
      </c>
      <c r="D13" s="7">
        <v>0.60699999999999998</v>
      </c>
    </row>
    <row r="14" spans="1:4" x14ac:dyDescent="0.2">
      <c r="A14" s="6">
        <v>390.59999999999997</v>
      </c>
      <c r="B14" s="6">
        <v>94</v>
      </c>
      <c r="C14" s="7">
        <v>0.77800000000000002</v>
      </c>
      <c r="D14" s="7">
        <v>0.65900000000000003</v>
      </c>
    </row>
    <row r="15" spans="1:4" x14ac:dyDescent="0.2">
      <c r="A15" s="6">
        <v>391.69999999999993</v>
      </c>
      <c r="B15" s="6">
        <v>94</v>
      </c>
      <c r="C15" s="7">
        <v>0.83199999999999996</v>
      </c>
      <c r="D15" s="7">
        <v>0.72199999999999998</v>
      </c>
    </row>
    <row r="16" spans="1:4" x14ac:dyDescent="0.2">
      <c r="A16" s="6">
        <v>392.97999999999996</v>
      </c>
      <c r="B16" s="6">
        <v>94</v>
      </c>
      <c r="C16" s="7">
        <v>0.878</v>
      </c>
      <c r="D16" s="7">
        <v>0.79</v>
      </c>
    </row>
    <row r="17" spans="1:4" x14ac:dyDescent="0.2">
      <c r="A17" s="6">
        <v>393.91999999999996</v>
      </c>
      <c r="B17" s="6">
        <v>94</v>
      </c>
      <c r="C17" s="7">
        <v>0.91600000000000004</v>
      </c>
      <c r="D17" s="7">
        <v>0.84299999999999997</v>
      </c>
    </row>
    <row r="18" spans="1:4" x14ac:dyDescent="0.2">
      <c r="A18" s="6">
        <f>2034.938/(7.12825-LOG10(B18))+1.83087</f>
        <v>396.57185619000683</v>
      </c>
      <c r="B18" s="6">
        <v>94</v>
      </c>
      <c r="C18" s="7">
        <v>1</v>
      </c>
      <c r="D18" s="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50F1-DC22-4C48-99FD-16217195BC13}">
  <dimension ref="A1:D33"/>
  <sheetViews>
    <sheetView workbookViewId="0">
      <selection activeCell="A3" sqref="A3"/>
    </sheetView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6">
        <v>390.91</v>
      </c>
      <c r="B2" s="6">
        <v>101.3</v>
      </c>
      <c r="C2" s="3">
        <v>0</v>
      </c>
      <c r="D2" s="3">
        <v>0</v>
      </c>
    </row>
    <row r="3" spans="1:4" ht="16.25" customHeight="1" x14ac:dyDescent="0.2">
      <c r="A3" s="6">
        <v>390.77</v>
      </c>
      <c r="B3" s="6">
        <v>101.3</v>
      </c>
      <c r="C3" s="3">
        <v>9.9000000000000199E-3</v>
      </c>
      <c r="D3" s="3">
        <v>1.5399999999999969E-2</v>
      </c>
    </row>
    <row r="4" spans="1:4" x14ac:dyDescent="0.2">
      <c r="A4" s="6">
        <v>390.5</v>
      </c>
      <c r="B4" s="6">
        <v>101.3</v>
      </c>
      <c r="C4" s="3">
        <v>3.6800000000000055E-2</v>
      </c>
      <c r="D4" s="3">
        <v>5.3400000000000003E-2</v>
      </c>
    </row>
    <row r="5" spans="1:4" x14ac:dyDescent="0.2">
      <c r="A5" s="6">
        <v>390.22</v>
      </c>
      <c r="B5" s="6">
        <v>101.3</v>
      </c>
      <c r="C5" s="3">
        <v>6.8599999999999994E-2</v>
      </c>
      <c r="D5" s="3">
        <v>9.209999999999996E-2</v>
      </c>
    </row>
    <row r="6" spans="1:4" x14ac:dyDescent="0.2">
      <c r="A6" s="6">
        <v>390.05</v>
      </c>
      <c r="B6" s="6">
        <v>101.3</v>
      </c>
      <c r="C6" s="3">
        <v>9.5700000000000007E-2</v>
      </c>
      <c r="D6" s="3">
        <v>0.12160000000000004</v>
      </c>
    </row>
    <row r="7" spans="1:4" x14ac:dyDescent="0.2">
      <c r="A7" s="6">
        <v>389.85</v>
      </c>
      <c r="B7" s="6">
        <v>101.3</v>
      </c>
      <c r="C7" s="3">
        <v>0.12160000000000004</v>
      </c>
      <c r="D7" s="3">
        <v>0.14790000000000003</v>
      </c>
    </row>
    <row r="8" spans="1:4" x14ac:dyDescent="0.2">
      <c r="A8" s="6">
        <v>389.67</v>
      </c>
      <c r="B8" s="6">
        <v>101.3</v>
      </c>
      <c r="C8" s="3">
        <v>0.16839999999999999</v>
      </c>
      <c r="D8" s="3">
        <v>0.19189999999999996</v>
      </c>
    </row>
    <row r="9" spans="1:4" x14ac:dyDescent="0.2">
      <c r="A9" s="6">
        <v>389.52</v>
      </c>
      <c r="B9" s="6">
        <v>101.3</v>
      </c>
      <c r="C9" s="3">
        <v>0.20699999999999996</v>
      </c>
      <c r="D9" s="3">
        <v>0.2238</v>
      </c>
    </row>
    <row r="10" spans="1:4" x14ac:dyDescent="0.2">
      <c r="A10" s="6">
        <v>389.47</v>
      </c>
      <c r="B10" s="6">
        <v>101.3</v>
      </c>
      <c r="C10" s="3">
        <v>0.24580000000000002</v>
      </c>
      <c r="D10" s="3">
        <v>0.25349999999999995</v>
      </c>
    </row>
    <row r="11" spans="1:4" x14ac:dyDescent="0.2">
      <c r="A11" s="6">
        <v>389.48</v>
      </c>
      <c r="B11" s="6">
        <v>101.3</v>
      </c>
      <c r="C11" s="3">
        <v>0.28639999999999999</v>
      </c>
      <c r="D11" s="3">
        <v>0.27880000000000005</v>
      </c>
    </row>
    <row r="12" spans="1:4" x14ac:dyDescent="0.2">
      <c r="A12" s="6">
        <v>389.52</v>
      </c>
      <c r="B12" s="6">
        <v>101.3</v>
      </c>
      <c r="C12" s="3">
        <v>0.31630000000000003</v>
      </c>
      <c r="D12" s="3">
        <v>0.30330000000000001</v>
      </c>
    </row>
    <row r="13" spans="1:4" x14ac:dyDescent="0.2">
      <c r="A13" s="6">
        <v>389.6</v>
      </c>
      <c r="B13" s="6">
        <v>101.3</v>
      </c>
      <c r="C13" s="3">
        <v>0.3589</v>
      </c>
      <c r="D13" s="3">
        <v>0.32830000000000004</v>
      </c>
    </row>
    <row r="14" spans="1:4" x14ac:dyDescent="0.2">
      <c r="A14" s="6">
        <v>389.73</v>
      </c>
      <c r="B14" s="6">
        <v>101.3</v>
      </c>
      <c r="C14" s="3">
        <v>0.39529999999999998</v>
      </c>
      <c r="D14" s="3">
        <v>0.35199999999999998</v>
      </c>
    </row>
    <row r="15" spans="1:4" x14ac:dyDescent="0.2">
      <c r="A15" s="6">
        <v>389.88</v>
      </c>
      <c r="B15" s="6">
        <v>101.3</v>
      </c>
      <c r="C15" s="3">
        <v>0.42330000000000001</v>
      </c>
      <c r="D15" s="3">
        <v>0.37060000000000004</v>
      </c>
    </row>
    <row r="16" spans="1:4" x14ac:dyDescent="0.2">
      <c r="A16" s="6">
        <v>390.03</v>
      </c>
      <c r="B16" s="6">
        <v>101.3</v>
      </c>
      <c r="C16" s="3">
        <v>0.45779999999999998</v>
      </c>
      <c r="D16" s="3">
        <v>0.39649999999999996</v>
      </c>
    </row>
    <row r="17" spans="1:4" x14ac:dyDescent="0.2">
      <c r="A17" s="6">
        <v>390.24</v>
      </c>
      <c r="B17" s="6">
        <v>101.3</v>
      </c>
      <c r="C17" s="3">
        <v>0.49350000000000005</v>
      </c>
      <c r="D17" s="3">
        <v>0.42030000000000001</v>
      </c>
    </row>
    <row r="18" spans="1:4" x14ac:dyDescent="0.2">
      <c r="A18" s="6">
        <v>390.35</v>
      </c>
      <c r="B18" s="6">
        <v>101.3</v>
      </c>
      <c r="C18" s="3">
        <v>0.51649999999999996</v>
      </c>
      <c r="D18" s="3">
        <v>0.43430000000000002</v>
      </c>
    </row>
    <row r="19" spans="1:4" x14ac:dyDescent="0.2">
      <c r="A19" s="6">
        <v>390.59</v>
      </c>
      <c r="B19" s="6">
        <v>101.3</v>
      </c>
      <c r="C19" s="3">
        <v>0.54810000000000003</v>
      </c>
      <c r="D19" s="3">
        <v>0.45930000000000004</v>
      </c>
    </row>
    <row r="20" spans="1:4" x14ac:dyDescent="0.2">
      <c r="A20" s="6">
        <v>390.87</v>
      </c>
      <c r="B20" s="6">
        <v>101.3</v>
      </c>
      <c r="C20" s="3">
        <v>0.57499999999999996</v>
      </c>
      <c r="D20" s="3">
        <v>0.48160000000000003</v>
      </c>
    </row>
    <row r="21" spans="1:4" x14ac:dyDescent="0.2">
      <c r="A21" s="6">
        <v>391.3</v>
      </c>
      <c r="B21" s="6">
        <v>101.3</v>
      </c>
      <c r="C21" s="3">
        <v>0.61929999999999996</v>
      </c>
      <c r="D21" s="3">
        <v>0.51729999999999998</v>
      </c>
    </row>
    <row r="22" spans="1:4" x14ac:dyDescent="0.2">
      <c r="A22" s="6">
        <v>391.59</v>
      </c>
      <c r="B22" s="6">
        <v>101.3</v>
      </c>
      <c r="C22" s="3">
        <v>0.64979999999999993</v>
      </c>
      <c r="D22" s="3">
        <v>0.54530000000000001</v>
      </c>
    </row>
    <row r="23" spans="1:4" x14ac:dyDescent="0.2">
      <c r="A23" s="6">
        <v>392.15</v>
      </c>
      <c r="B23" s="6">
        <v>101.3</v>
      </c>
      <c r="C23" s="3">
        <v>0.69619999999999993</v>
      </c>
      <c r="D23" s="3">
        <v>0.58860000000000001</v>
      </c>
    </row>
    <row r="24" spans="1:4" x14ac:dyDescent="0.2">
      <c r="A24" s="6">
        <v>392.88</v>
      </c>
      <c r="B24" s="6">
        <v>101.3</v>
      </c>
      <c r="C24" s="3">
        <v>0.74629999999999996</v>
      </c>
      <c r="D24" s="3">
        <v>0.6411</v>
      </c>
    </row>
    <row r="25" spans="1:4" x14ac:dyDescent="0.2">
      <c r="A25" s="6">
        <v>393.73</v>
      </c>
      <c r="B25" s="6">
        <v>101.3</v>
      </c>
      <c r="C25" s="3">
        <v>0.79669999999999996</v>
      </c>
      <c r="D25" s="3">
        <v>0.69720000000000004</v>
      </c>
    </row>
    <row r="26" spans="1:4" x14ac:dyDescent="0.2">
      <c r="A26" s="6">
        <v>394.14</v>
      </c>
      <c r="B26" s="6">
        <v>101.3</v>
      </c>
      <c r="C26" s="3">
        <v>0.81559999999999999</v>
      </c>
      <c r="D26" s="3">
        <v>0.71910000000000007</v>
      </c>
    </row>
    <row r="27" spans="1:4" x14ac:dyDescent="0.2">
      <c r="A27" s="6">
        <v>394.86</v>
      </c>
      <c r="B27" s="6">
        <v>101.3</v>
      </c>
      <c r="C27" s="3">
        <v>0.85020000000000007</v>
      </c>
      <c r="D27" s="3">
        <v>0.76429999999999998</v>
      </c>
    </row>
    <row r="28" spans="1:4" x14ac:dyDescent="0.2">
      <c r="A28" s="6">
        <v>395.45</v>
      </c>
      <c r="B28" s="6">
        <v>101.3</v>
      </c>
      <c r="C28" s="3">
        <v>0.87229999999999996</v>
      </c>
      <c r="D28" s="3">
        <v>0.7944</v>
      </c>
    </row>
    <row r="29" spans="1:4" x14ac:dyDescent="0.2">
      <c r="A29" s="6">
        <v>396.45</v>
      </c>
      <c r="B29" s="6">
        <v>101.3</v>
      </c>
      <c r="C29" s="3">
        <v>0.90900000000000003</v>
      </c>
      <c r="D29" s="3">
        <v>0.84650000000000003</v>
      </c>
    </row>
    <row r="30" spans="1:4" x14ac:dyDescent="0.2">
      <c r="A30" s="6">
        <v>397.2</v>
      </c>
      <c r="B30" s="6">
        <v>101.3</v>
      </c>
      <c r="C30" s="3">
        <v>0.93179999999999996</v>
      </c>
      <c r="D30" s="3">
        <v>0.88300000000000001</v>
      </c>
    </row>
    <row r="31" spans="1:4" x14ac:dyDescent="0.2">
      <c r="A31" s="6">
        <v>398.17</v>
      </c>
      <c r="B31" s="6">
        <v>101.3</v>
      </c>
      <c r="C31" s="3">
        <v>0.95909999999999995</v>
      </c>
      <c r="D31" s="3">
        <v>0.92849999999999999</v>
      </c>
    </row>
    <row r="32" spans="1:4" x14ac:dyDescent="0.2">
      <c r="A32" s="6">
        <v>398.97</v>
      </c>
      <c r="B32" s="6">
        <v>101.3</v>
      </c>
      <c r="C32" s="3">
        <v>0.98650000000000004</v>
      </c>
      <c r="D32" s="3">
        <v>0.97609999999999997</v>
      </c>
    </row>
    <row r="33" spans="1:4" x14ac:dyDescent="0.2">
      <c r="A33" s="6">
        <f>126.17+273.15</f>
        <v>399.32</v>
      </c>
      <c r="B33" s="6">
        <v>101.3</v>
      </c>
      <c r="C33" s="3">
        <v>1</v>
      </c>
      <c r="D33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13D-43C1-DA43-B861-6057A205F74D}">
  <dimension ref="A1:B13"/>
  <sheetViews>
    <sheetView workbookViewId="0">
      <selection activeCell="B2" sqref="B2"/>
    </sheetView>
  </sheetViews>
  <sheetFormatPr baseColWidth="10" defaultColWidth="11.1640625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 s="9">
        <v>0</v>
      </c>
      <c r="B2" s="8">
        <v>24.37</v>
      </c>
    </row>
    <row r="3" spans="1:2" x14ac:dyDescent="0.2">
      <c r="A3" s="9">
        <v>4.4999999999999998E-2</v>
      </c>
      <c r="B3" s="8">
        <v>24.49</v>
      </c>
    </row>
    <row r="4" spans="1:2" x14ac:dyDescent="0.2">
      <c r="A4" s="9">
        <v>9.1999999999999998E-2</v>
      </c>
      <c r="B4" s="8">
        <v>24.68</v>
      </c>
    </row>
    <row r="5" spans="1:2" x14ac:dyDescent="0.2">
      <c r="A5" s="9">
        <v>0.19400000000000001</v>
      </c>
      <c r="B5" s="8">
        <v>24.97</v>
      </c>
    </row>
    <row r="6" spans="1:2" x14ac:dyDescent="0.2">
      <c r="A6" s="9">
        <v>0.29299999999999998</v>
      </c>
      <c r="B6" s="8">
        <v>25.23</v>
      </c>
    </row>
    <row r="7" spans="1:2" x14ac:dyDescent="0.2">
      <c r="A7" s="9">
        <v>0.39800000000000002</v>
      </c>
      <c r="B7" s="8">
        <v>25.36</v>
      </c>
    </row>
    <row r="8" spans="1:2" x14ac:dyDescent="0.2">
      <c r="A8" s="9">
        <v>0.50600000000000001</v>
      </c>
      <c r="B8" s="8">
        <v>25.52</v>
      </c>
    </row>
    <row r="9" spans="1:2" x14ac:dyDescent="0.2">
      <c r="A9" s="9">
        <v>0.60699999999999998</v>
      </c>
      <c r="B9" s="8">
        <v>25.51</v>
      </c>
    </row>
    <row r="10" spans="1:2" x14ac:dyDescent="0.2">
      <c r="A10" s="9">
        <v>0.70899999999999996</v>
      </c>
      <c r="B10" s="8">
        <v>25.47</v>
      </c>
    </row>
    <row r="11" spans="1:2" x14ac:dyDescent="0.2">
      <c r="A11" s="9">
        <v>0.80900000000000005</v>
      </c>
      <c r="B11" s="8">
        <v>25.4</v>
      </c>
    </row>
    <row r="12" spans="1:2" x14ac:dyDescent="0.2">
      <c r="A12" s="9">
        <v>0.90800000000000003</v>
      </c>
      <c r="B12" s="8">
        <v>25.28</v>
      </c>
    </row>
    <row r="13" spans="1:2" x14ac:dyDescent="0.2">
      <c r="A13" s="9">
        <v>1</v>
      </c>
      <c r="B13" s="8">
        <v>25.2</v>
      </c>
    </row>
  </sheetData>
  <autoFilter ref="A1:B13" xr:uid="{1CD4E13D-43C1-DA43-B861-6057A205F74D}">
    <sortState xmlns:xlrd2="http://schemas.microsoft.com/office/spreadsheetml/2017/richdata2" ref="A2:B13">
      <sortCondition ref="A1:A13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E4E3-4638-4F0F-B480-ABCCA97C0F2F}">
  <dimension ref="A1:C3"/>
  <sheetViews>
    <sheetView workbookViewId="0">
      <selection activeCell="D2" sqref="D2"/>
    </sheetView>
  </sheetViews>
  <sheetFormatPr baseColWidth="10" defaultColWidth="8.83203125" defaultRowHeight="16" x14ac:dyDescent="0.2"/>
  <sheetData>
    <row r="1" spans="1:3" x14ac:dyDescent="0.2">
      <c r="A1" t="s">
        <v>0</v>
      </c>
      <c r="B1" t="s">
        <v>1</v>
      </c>
      <c r="C1" t="s">
        <v>10</v>
      </c>
    </row>
    <row r="2" spans="1:3" x14ac:dyDescent="0.2">
      <c r="A2">
        <v>298.14999999999998</v>
      </c>
      <c r="B2">
        <f>10^(7.12825-2034.938/(A2-1.83087))</f>
        <v>1.8233224383360702</v>
      </c>
      <c r="C2">
        <v>0.96923199999999998</v>
      </c>
    </row>
    <row r="3" spans="1:3" x14ac:dyDescent="0.2">
      <c r="A3">
        <v>298.14999999999998</v>
      </c>
      <c r="B3">
        <f>10^(6.4552-1285.522/(A3-101.6256))</f>
        <v>0.82019205673123674</v>
      </c>
      <c r="C3">
        <v>0.80580700000000005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19FE-3E72-0448-BF9E-878123F879E0}">
  <dimension ref="A1:B14"/>
  <sheetViews>
    <sheetView workbookViewId="0">
      <selection sqref="A1:B1"/>
    </sheetView>
  </sheetViews>
  <sheetFormatPr baseColWidth="10" defaultColWidth="11.1640625" defaultRowHeight="16" x14ac:dyDescent="0.2"/>
  <sheetData>
    <row r="1" spans="1:2" x14ac:dyDescent="0.2">
      <c r="A1" t="s">
        <v>2</v>
      </c>
      <c r="B1" t="s">
        <v>5</v>
      </c>
    </row>
    <row r="2" spans="1:2" x14ac:dyDescent="0.2">
      <c r="A2" s="3">
        <v>0</v>
      </c>
      <c r="B2" s="5">
        <v>2.5870000000000002</v>
      </c>
    </row>
    <row r="3" spans="1:2" x14ac:dyDescent="0.2">
      <c r="A3" s="3">
        <v>4.8000000000000001E-2</v>
      </c>
      <c r="B3" s="5">
        <v>2.1391</v>
      </c>
    </row>
    <row r="4" spans="1:2" x14ac:dyDescent="0.2">
      <c r="A4" s="3">
        <v>9.7000000000000003E-2</v>
      </c>
      <c r="B4" s="5">
        <v>1.8644000000000001</v>
      </c>
    </row>
    <row r="5" spans="1:2" x14ac:dyDescent="0.2">
      <c r="A5" s="3">
        <v>0.19400000000000001</v>
      </c>
      <c r="B5" s="5">
        <v>1.4783999999999999</v>
      </c>
    </row>
    <row r="6" spans="1:2" x14ac:dyDescent="0.2">
      <c r="A6" s="3">
        <v>0.30299999999999999</v>
      </c>
      <c r="B6" s="5">
        <v>1.2258</v>
      </c>
    </row>
    <row r="7" spans="1:2" x14ac:dyDescent="0.2">
      <c r="A7" s="3">
        <v>0.39200000000000002</v>
      </c>
      <c r="B7" s="5">
        <v>1.0308999999999999</v>
      </c>
    </row>
    <row r="8" spans="1:2" x14ac:dyDescent="0.2">
      <c r="A8" s="3">
        <v>0.48899999999999999</v>
      </c>
      <c r="B8" s="5">
        <v>0.92930000000000001</v>
      </c>
    </row>
    <row r="9" spans="1:2" x14ac:dyDescent="0.2">
      <c r="A9" s="3">
        <v>0.61499999999999999</v>
      </c>
      <c r="B9" s="5">
        <v>0.81620000000000004</v>
      </c>
    </row>
    <row r="10" spans="1:2" x14ac:dyDescent="0.2">
      <c r="A10" s="3">
        <v>0.70399999999999996</v>
      </c>
      <c r="B10" s="5">
        <v>0.77449999999999997</v>
      </c>
    </row>
    <row r="11" spans="1:2" x14ac:dyDescent="0.2">
      <c r="A11" s="3">
        <v>0.80300000000000005</v>
      </c>
      <c r="B11" s="5">
        <v>0.73629999999999995</v>
      </c>
    </row>
    <row r="12" spans="1:2" x14ac:dyDescent="0.2">
      <c r="A12" s="3">
        <v>0.89500000000000002</v>
      </c>
      <c r="B12" s="5">
        <v>0.71899999999999997</v>
      </c>
    </row>
    <row r="13" spans="1:2" x14ac:dyDescent="0.2">
      <c r="A13" s="3">
        <v>0.95699999999999996</v>
      </c>
      <c r="B13" s="5">
        <v>0.71650000000000003</v>
      </c>
    </row>
    <row r="14" spans="1:2" x14ac:dyDescent="0.2">
      <c r="A14" s="3">
        <v>1</v>
      </c>
      <c r="B14" s="5">
        <v>0.72109999999999996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24B6-1296-4C22-BBA8-07EB907D8C17}">
  <dimension ref="A1:B14"/>
  <sheetViews>
    <sheetView workbookViewId="0">
      <selection sqref="A1:B1"/>
    </sheetView>
  </sheetViews>
  <sheetFormatPr baseColWidth="10" defaultColWidth="8.83203125" defaultRowHeight="16" x14ac:dyDescent="0.2"/>
  <sheetData>
    <row r="1" spans="1:2" x14ac:dyDescent="0.2">
      <c r="A1" t="s">
        <v>2</v>
      </c>
      <c r="B1" t="s">
        <v>5</v>
      </c>
    </row>
    <row r="2" spans="1:2" x14ac:dyDescent="0.2">
      <c r="A2" s="3">
        <v>0</v>
      </c>
      <c r="B2" s="7">
        <v>2.62</v>
      </c>
    </row>
    <row r="3" spans="1:2" x14ac:dyDescent="0.2">
      <c r="A3" s="3">
        <v>5.1900000000000002E-2</v>
      </c>
      <c r="B3" s="7">
        <v>2.2029999999999998</v>
      </c>
    </row>
    <row r="4" spans="1:2" x14ac:dyDescent="0.2">
      <c r="A4" s="3">
        <v>9.9299999999999999E-2</v>
      </c>
      <c r="B4" s="7">
        <v>1.899</v>
      </c>
    </row>
    <row r="5" spans="1:2" x14ac:dyDescent="0.2">
      <c r="A5" s="3">
        <v>0.1996</v>
      </c>
      <c r="B5" s="7">
        <v>1.4450000000000001</v>
      </c>
    </row>
    <row r="6" spans="1:2" x14ac:dyDescent="0.2">
      <c r="A6" s="3">
        <v>0.2923</v>
      </c>
      <c r="B6" s="7">
        <v>1.1950000000000001</v>
      </c>
    </row>
    <row r="7" spans="1:2" x14ac:dyDescent="0.2">
      <c r="A7" s="3">
        <v>0.39889999999999998</v>
      </c>
      <c r="B7" s="7">
        <v>1.03</v>
      </c>
    </row>
    <row r="8" spans="1:2" x14ac:dyDescent="0.2">
      <c r="A8" s="3">
        <v>0.50170000000000003</v>
      </c>
      <c r="B8" s="7">
        <v>0.93899999999999995</v>
      </c>
    </row>
    <row r="9" spans="1:2" x14ac:dyDescent="0.2">
      <c r="A9" s="3">
        <v>0.60160000000000002</v>
      </c>
      <c r="B9" s="7">
        <v>0.874</v>
      </c>
    </row>
    <row r="10" spans="1:2" x14ac:dyDescent="0.2">
      <c r="A10" s="3">
        <v>0.70430000000000004</v>
      </c>
      <c r="B10" s="7">
        <v>0.81499999999999995</v>
      </c>
    </row>
    <row r="11" spans="1:2" x14ac:dyDescent="0.2">
      <c r="A11" s="3">
        <v>0.80020000000000002</v>
      </c>
      <c r="B11" s="7">
        <v>0.76600000000000001</v>
      </c>
    </row>
    <row r="12" spans="1:2" x14ac:dyDescent="0.2">
      <c r="A12" s="3">
        <v>0.89680000000000004</v>
      </c>
      <c r="B12" s="7">
        <v>0.73599999999999999</v>
      </c>
    </row>
    <row r="13" spans="1:2" x14ac:dyDescent="0.2">
      <c r="A13" s="3">
        <v>0.94710000000000005</v>
      </c>
      <c r="B13" s="7">
        <v>0.73399999999999999</v>
      </c>
    </row>
    <row r="14" spans="1:2" x14ac:dyDescent="0.2">
      <c r="A14" s="3">
        <v>1</v>
      </c>
      <c r="B14" s="7">
        <v>0.749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CB76-119C-524A-8219-9C333A419F35}">
  <dimension ref="A1:B12"/>
  <sheetViews>
    <sheetView tabSelected="1" topLeftCell="A17" workbookViewId="0">
      <selection activeCell="O37" sqref="O37"/>
    </sheetView>
  </sheetViews>
  <sheetFormatPr baseColWidth="10" defaultRowHeight="16" x14ac:dyDescent="0.2"/>
  <sheetData>
    <row r="1" spans="1:2" x14ac:dyDescent="0.2">
      <c r="A1" t="s">
        <v>2</v>
      </c>
      <c r="B1" t="s">
        <v>5</v>
      </c>
    </row>
    <row r="2" spans="1:2" x14ac:dyDescent="0.2">
      <c r="A2">
        <v>0</v>
      </c>
      <c r="B2">
        <v>2.6189999999999998</v>
      </c>
    </row>
    <row r="3" spans="1:2" x14ac:dyDescent="0.2">
      <c r="A3">
        <v>0.1016</v>
      </c>
      <c r="B3">
        <v>1.909</v>
      </c>
    </row>
    <row r="4" spans="1:2" x14ac:dyDescent="0.2">
      <c r="A4">
        <v>0.20230000000000001</v>
      </c>
      <c r="B4">
        <v>1.504</v>
      </c>
    </row>
    <row r="5" spans="1:2" x14ac:dyDescent="0.2">
      <c r="A5">
        <v>0.2974</v>
      </c>
      <c r="B5">
        <v>1.254</v>
      </c>
    </row>
    <row r="6" spans="1:2" x14ac:dyDescent="0.2">
      <c r="A6">
        <v>0.40079999999999999</v>
      </c>
      <c r="B6">
        <v>1.0740000000000001</v>
      </c>
    </row>
    <row r="7" spans="1:2" x14ac:dyDescent="0.2">
      <c r="A7">
        <v>0.50360000000000005</v>
      </c>
      <c r="B7">
        <v>0.94799999999999995</v>
      </c>
    </row>
    <row r="8" spans="1:2" x14ac:dyDescent="0.2">
      <c r="A8">
        <v>0.59589999999999999</v>
      </c>
      <c r="B8">
        <v>0.877</v>
      </c>
    </row>
    <row r="9" spans="1:2" x14ac:dyDescent="0.2">
      <c r="A9">
        <v>0.69510000000000005</v>
      </c>
      <c r="B9">
        <v>0.81400000000000006</v>
      </c>
    </row>
    <row r="10" spans="1:2" x14ac:dyDescent="0.2">
      <c r="A10">
        <v>0.749</v>
      </c>
      <c r="B10">
        <v>0.79299999999999993</v>
      </c>
    </row>
    <row r="11" spans="1:2" x14ac:dyDescent="0.2">
      <c r="A11">
        <v>0.89890000000000003</v>
      </c>
      <c r="B11">
        <v>0.749</v>
      </c>
    </row>
    <row r="12" spans="1:2" x14ac:dyDescent="0.2">
      <c r="A12">
        <v>1</v>
      </c>
      <c r="B12">
        <v>0.746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DE21-13ED-4C52-94B9-6329E690A662}">
  <dimension ref="A1:B2"/>
  <sheetViews>
    <sheetView workbookViewId="0">
      <selection activeCell="B2" sqref="B2"/>
    </sheetView>
  </sheetViews>
  <sheetFormatPr baseColWidth="10" defaultColWidth="8.83203125" defaultRowHeight="16" x14ac:dyDescent="0.2"/>
  <cols>
    <col min="5" max="5" width="9.33203125" bestFit="1" customWidth="1"/>
  </cols>
  <sheetData>
    <row r="1" spans="1:2" x14ac:dyDescent="0.2">
      <c r="A1" t="s">
        <v>0</v>
      </c>
      <c r="B1" s="4" t="s">
        <v>5</v>
      </c>
    </row>
    <row r="2" spans="1:2" x14ac:dyDescent="0.2">
      <c r="A2">
        <v>298.14999999999998</v>
      </c>
      <c r="B2" s="5">
        <v>0.72109999999999996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DDFA-C191-41A5-BB80-2C2B23500073}">
  <dimension ref="A1:B2"/>
  <sheetViews>
    <sheetView workbookViewId="0">
      <selection activeCell="B1" sqref="B1"/>
    </sheetView>
  </sheetViews>
  <sheetFormatPr baseColWidth="10" defaultColWidth="8.83203125" defaultRowHeight="16" x14ac:dyDescent="0.2"/>
  <sheetData>
    <row r="1" spans="1:2" x14ac:dyDescent="0.2">
      <c r="A1" t="s">
        <v>0</v>
      </c>
      <c r="B1" s="4" t="s">
        <v>5</v>
      </c>
    </row>
    <row r="2" spans="1:2" x14ac:dyDescent="0.2">
      <c r="A2">
        <v>298.14999999999998</v>
      </c>
      <c r="B2" s="5">
        <v>2.5870000000000002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3654-95FA-41E1-9769-B29E3A01035E}">
  <dimension ref="A1:B2"/>
  <sheetViews>
    <sheetView workbookViewId="0">
      <selection activeCell="B3" sqref="B3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298.14999999999998</v>
      </c>
      <c r="B2" s="6">
        <f>IFT!B13</f>
        <v>25.2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305C-EAA2-436B-BA0C-431F3837CB5C}">
  <dimension ref="A1:B2"/>
  <sheetViews>
    <sheetView workbookViewId="0">
      <selection activeCell="J23" sqref="J23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298.14999999999998</v>
      </c>
      <c r="B2" s="8">
        <v>24.37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4BD4-0858-4AAD-9A9C-0545477DF53C}">
  <dimension ref="A1:J23"/>
  <sheetViews>
    <sheetView workbookViewId="0">
      <selection activeCell="I1" sqref="I1:J22"/>
    </sheetView>
  </sheetViews>
  <sheetFormatPr baseColWidth="10" defaultColWidth="8.83203125" defaultRowHeight="16" x14ac:dyDescent="0.2"/>
  <sheetData>
    <row r="1" spans="1:10" x14ac:dyDescent="0.2">
      <c r="A1" t="s">
        <v>0</v>
      </c>
      <c r="B1" t="s">
        <v>7</v>
      </c>
      <c r="C1" t="s">
        <v>6</v>
      </c>
      <c r="D1" t="s">
        <v>8</v>
      </c>
      <c r="E1" t="s">
        <v>9</v>
      </c>
      <c r="F1" t="s">
        <v>5</v>
      </c>
      <c r="I1" t="s">
        <v>0</v>
      </c>
      <c r="J1" t="s">
        <v>4</v>
      </c>
    </row>
    <row r="2" spans="1:10" x14ac:dyDescent="0.2">
      <c r="A2">
        <v>288.14999999999998</v>
      </c>
      <c r="B2">
        <v>1.0771599999999999</v>
      </c>
      <c r="C2">
        <v>0.60499999999999998</v>
      </c>
      <c r="D2" s="2">
        <f t="shared" ref="D2:D8" si="0">C2/100</f>
        <v>6.0499999999999998E-3</v>
      </c>
      <c r="E2" s="1">
        <f t="shared" ref="E2:E8" si="1">B2*D2</f>
        <v>6.5168179999999989E-3</v>
      </c>
      <c r="F2" s="3">
        <f t="shared" ref="F2:F8" si="2">E2*100</f>
        <v>0.65168179999999987</v>
      </c>
      <c r="I2" s="6">
        <v>273.18</v>
      </c>
      <c r="J2" s="10">
        <v>29.2</v>
      </c>
    </row>
    <row r="3" spans="1:10" x14ac:dyDescent="0.2">
      <c r="A3">
        <v>293.14999999999998</v>
      </c>
      <c r="B3">
        <v>1.0701799999999999</v>
      </c>
      <c r="C3">
        <v>0.56999999999999995</v>
      </c>
      <c r="D3" s="2">
        <f t="shared" si="0"/>
        <v>5.6999999999999993E-3</v>
      </c>
      <c r="E3" s="1">
        <f t="shared" si="1"/>
        <v>6.1000259999999988E-3</v>
      </c>
      <c r="F3" s="3">
        <f t="shared" si="2"/>
        <v>0.61000259999999984</v>
      </c>
      <c r="I3" s="6">
        <v>278.18</v>
      </c>
      <c r="J3" s="10">
        <v>28.6</v>
      </c>
    </row>
    <row r="4" spans="1:10" x14ac:dyDescent="0.2">
      <c r="A4">
        <v>298.14999999999998</v>
      </c>
      <c r="B4">
        <v>1.0632600000000001</v>
      </c>
      <c r="C4">
        <v>0.54100000000000004</v>
      </c>
      <c r="D4" s="2">
        <f t="shared" si="0"/>
        <v>5.4100000000000007E-3</v>
      </c>
      <c r="E4" s="1">
        <f t="shared" si="1"/>
        <v>5.7522366000000011E-3</v>
      </c>
      <c r="F4" s="3">
        <f t="shared" si="2"/>
        <v>0.57522366000000014</v>
      </c>
      <c r="I4" s="6">
        <v>283.18</v>
      </c>
      <c r="J4" s="10">
        <v>28.1</v>
      </c>
    </row>
    <row r="5" spans="1:10" x14ac:dyDescent="0.2">
      <c r="A5">
        <v>303.14999999999998</v>
      </c>
      <c r="B5">
        <v>1.05623</v>
      </c>
      <c r="C5">
        <v>0.50800000000000001</v>
      </c>
      <c r="D5" s="2">
        <f t="shared" si="0"/>
        <v>5.0800000000000003E-3</v>
      </c>
      <c r="E5" s="1">
        <f t="shared" si="1"/>
        <v>5.3656484000000008E-3</v>
      </c>
      <c r="F5" s="3">
        <f t="shared" si="2"/>
        <v>0.53656484000000004</v>
      </c>
      <c r="I5" s="6">
        <v>288.18</v>
      </c>
      <c r="J5" s="10">
        <v>27.5</v>
      </c>
    </row>
    <row r="6" spans="1:10" x14ac:dyDescent="0.2">
      <c r="A6">
        <v>308.14999999999998</v>
      </c>
      <c r="B6">
        <v>1.0498499999999999</v>
      </c>
      <c r="C6">
        <v>0.47599999999999998</v>
      </c>
      <c r="D6" s="2">
        <f t="shared" si="0"/>
        <v>4.7599999999999995E-3</v>
      </c>
      <c r="E6" s="1">
        <f t="shared" si="1"/>
        <v>4.9972859999999992E-3</v>
      </c>
      <c r="F6" s="3">
        <f t="shared" si="2"/>
        <v>0.49972859999999991</v>
      </c>
      <c r="I6" s="6">
        <v>293.16000000000003</v>
      </c>
      <c r="J6" s="10">
        <v>26.8</v>
      </c>
    </row>
    <row r="7" spans="1:10" x14ac:dyDescent="0.2">
      <c r="A7">
        <v>313.14999999999998</v>
      </c>
      <c r="B7">
        <v>1.04304</v>
      </c>
      <c r="C7">
        <v>0.45600000000000002</v>
      </c>
      <c r="D7" s="2">
        <f t="shared" si="0"/>
        <v>4.5599999999999998E-3</v>
      </c>
      <c r="E7" s="1">
        <f t="shared" si="1"/>
        <v>4.7562624E-3</v>
      </c>
      <c r="F7" s="3">
        <f t="shared" si="2"/>
        <v>0.47562623999999998</v>
      </c>
      <c r="I7" s="6">
        <v>298.10000000000002</v>
      </c>
      <c r="J7" s="10">
        <v>26.3</v>
      </c>
    </row>
    <row r="8" spans="1:10" x14ac:dyDescent="0.2">
      <c r="A8">
        <v>318.14999999999998</v>
      </c>
      <c r="B8">
        <v>1.03651</v>
      </c>
      <c r="C8">
        <v>0.433</v>
      </c>
      <c r="D8" s="2">
        <f t="shared" si="0"/>
        <v>4.3299999999999996E-3</v>
      </c>
      <c r="E8" s="1">
        <f t="shared" si="1"/>
        <v>4.4880883E-3</v>
      </c>
      <c r="F8" s="3">
        <f t="shared" si="2"/>
        <v>0.44880882999999999</v>
      </c>
      <c r="I8" s="6">
        <v>303.17</v>
      </c>
      <c r="J8" s="10">
        <v>25.6</v>
      </c>
    </row>
    <row r="9" spans="1:10" x14ac:dyDescent="0.2">
      <c r="I9" s="6">
        <v>308.11</v>
      </c>
      <c r="J9" s="10">
        <v>25.1</v>
      </c>
    </row>
    <row r="10" spans="1:10" x14ac:dyDescent="0.2">
      <c r="I10" s="6">
        <v>313.19</v>
      </c>
      <c r="J10" s="10">
        <v>24.5</v>
      </c>
    </row>
    <row r="11" spans="1:10" x14ac:dyDescent="0.2">
      <c r="I11" s="6">
        <v>318.16000000000003</v>
      </c>
      <c r="J11" s="10">
        <v>24</v>
      </c>
    </row>
    <row r="12" spans="1:10" x14ac:dyDescent="0.2">
      <c r="A12" t="s">
        <v>0</v>
      </c>
      <c r="B12" s="4" t="s">
        <v>5</v>
      </c>
      <c r="I12" s="6">
        <v>323.16000000000003</v>
      </c>
      <c r="J12" s="10">
        <v>23.5</v>
      </c>
    </row>
    <row r="13" spans="1:10" x14ac:dyDescent="0.2">
      <c r="A13">
        <v>298.14999999999998</v>
      </c>
      <c r="B13">
        <v>2.5709999999999997</v>
      </c>
      <c r="I13" s="6">
        <v>328.13</v>
      </c>
      <c r="J13" s="10">
        <v>23</v>
      </c>
    </row>
    <row r="14" spans="1:10" x14ac:dyDescent="0.2">
      <c r="A14">
        <v>303.14999999999998</v>
      </c>
      <c r="B14">
        <v>2.2629999999999999</v>
      </c>
      <c r="I14" s="6">
        <v>333.18</v>
      </c>
      <c r="J14" s="10">
        <v>22.4</v>
      </c>
    </row>
    <row r="15" spans="1:10" x14ac:dyDescent="0.2">
      <c r="A15">
        <v>313.14999999999998</v>
      </c>
      <c r="B15">
        <v>1.7734000000000001</v>
      </c>
      <c r="I15" s="6">
        <v>338.17</v>
      </c>
      <c r="J15" s="10">
        <v>21.8</v>
      </c>
    </row>
    <row r="16" spans="1:10" x14ac:dyDescent="0.2">
      <c r="A16">
        <v>323.14999999999998</v>
      </c>
      <c r="B16">
        <v>1.4098999999999999</v>
      </c>
      <c r="I16" s="6">
        <v>343.17</v>
      </c>
      <c r="J16" s="10">
        <v>21.2</v>
      </c>
    </row>
    <row r="17" spans="1:10" x14ac:dyDescent="0.2">
      <c r="A17">
        <v>333.15</v>
      </c>
      <c r="B17">
        <v>1.1356999999999999</v>
      </c>
      <c r="I17" s="6">
        <v>348.17</v>
      </c>
      <c r="J17" s="10">
        <v>20.7</v>
      </c>
    </row>
    <row r="18" spans="1:10" x14ac:dyDescent="0.2">
      <c r="A18">
        <v>343.15</v>
      </c>
      <c r="B18">
        <v>0.92599999999999993</v>
      </c>
      <c r="I18" s="6">
        <v>353.19</v>
      </c>
      <c r="J18" s="10">
        <v>20.2</v>
      </c>
    </row>
    <row r="19" spans="1:10" x14ac:dyDescent="0.2">
      <c r="A19">
        <v>353.15</v>
      </c>
      <c r="B19">
        <v>0.76300000000000001</v>
      </c>
      <c r="I19" s="6">
        <v>358.18</v>
      </c>
      <c r="J19" s="10">
        <v>19.600000000000001</v>
      </c>
    </row>
    <row r="20" spans="1:10" x14ac:dyDescent="0.2">
      <c r="A20">
        <v>363.15</v>
      </c>
      <c r="B20">
        <v>0.63500000000000001</v>
      </c>
      <c r="I20" s="6">
        <v>363.16</v>
      </c>
      <c r="J20" s="10">
        <v>19.100000000000001</v>
      </c>
    </row>
    <row r="21" spans="1:10" x14ac:dyDescent="0.2">
      <c r="A21">
        <v>373.15</v>
      </c>
      <c r="B21">
        <v>0.53399999999999992</v>
      </c>
      <c r="I21" s="6">
        <v>368.18</v>
      </c>
      <c r="J21" s="10">
        <v>18.7</v>
      </c>
    </row>
    <row r="22" spans="1:10" x14ac:dyDescent="0.2">
      <c r="A22">
        <v>383.15</v>
      </c>
      <c r="B22">
        <v>0.45199999999999996</v>
      </c>
      <c r="I22" s="6">
        <v>373.17</v>
      </c>
      <c r="J22" s="10">
        <v>18</v>
      </c>
    </row>
    <row r="23" spans="1:10" x14ac:dyDescent="0.2">
      <c r="A23">
        <v>388.15</v>
      </c>
      <c r="B23">
        <v>0.41699999999999998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PV1</vt:lpstr>
      <vt:lpstr>PV2</vt:lpstr>
      <vt:lpstr>data1_psat1</vt:lpstr>
      <vt:lpstr>data2_psat1</vt:lpstr>
      <vt:lpstr>data3_psat1</vt:lpstr>
      <vt:lpstr>VLE50</vt:lpstr>
      <vt:lpstr>VLE75</vt:lpstr>
      <vt:lpstr>VLE94</vt:lpstr>
      <vt:lpstr>VLE101</vt:lpstr>
      <vt:lpstr>IFT</vt:lpstr>
      <vt:lpstr>VT</vt:lpstr>
      <vt:lpstr>DVIS</vt:lpstr>
      <vt:lpstr>dvis_can</vt:lpstr>
      <vt:lpstr>dvis_yang</vt:lpstr>
      <vt:lpstr>DVIS1</vt:lpstr>
      <vt:lpstr>DVIS2</vt:lpstr>
      <vt:lpstr>IFT1</vt:lpstr>
      <vt:lpstr>IFT2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Sergio Andrés Mejía Matallana</cp:lastModifiedBy>
  <dcterms:created xsi:type="dcterms:W3CDTF">2024-08-30T15:30:40Z</dcterms:created>
  <dcterms:modified xsi:type="dcterms:W3CDTF">2025-07-28T10:17:54Z</dcterms:modified>
</cp:coreProperties>
</file>